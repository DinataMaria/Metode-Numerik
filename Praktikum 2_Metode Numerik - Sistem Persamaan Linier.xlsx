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ria\Github\Metode-Numerik\"/>
    </mc:Choice>
  </mc:AlternateContent>
  <xr:revisionPtr revIDLastSave="0" documentId="13_ncr:1_{175DAC7D-7BE0-4E85-BBAE-754A7C873644}" xr6:coauthVersionLast="47" xr6:coauthVersionMax="47" xr10:uidLastSave="{00000000-0000-0000-0000-000000000000}"/>
  <bookViews>
    <workbookView xWindow="1060" yWindow="1060" windowWidth="14400" windowHeight="7270" xr2:uid="{3E7814A2-7EF8-412E-A7AA-8F3F989192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6" i="1" l="1"/>
  <c r="C34" i="1"/>
  <c r="F17" i="1"/>
  <c r="E17" i="1"/>
  <c r="D17" i="1"/>
  <c r="C17" i="1"/>
  <c r="F56" i="1" l="1"/>
  <c r="D56" i="1"/>
  <c r="C57" i="1" s="1"/>
  <c r="G37" i="1"/>
  <c r="G39" i="1"/>
  <c r="G35" i="1"/>
  <c r="G34" i="1"/>
  <c r="D34" i="1"/>
  <c r="G36" i="1"/>
  <c r="E34" i="1"/>
  <c r="I34" i="1" s="1"/>
  <c r="G38" i="1"/>
  <c r="C18" i="1"/>
  <c r="F18" i="1"/>
  <c r="J18" i="1" s="1"/>
  <c r="H17" i="1"/>
  <c r="I17" i="1"/>
  <c r="J17" i="1"/>
  <c r="G17" i="1"/>
  <c r="D18" i="1"/>
  <c r="E18" i="1"/>
  <c r="D19" i="1" s="1"/>
  <c r="H19" i="1" s="1"/>
  <c r="H18" i="1" l="1"/>
  <c r="F19" i="1"/>
  <c r="E56" i="1"/>
  <c r="G56" i="1"/>
  <c r="F34" i="1"/>
  <c r="J34" i="1" s="1"/>
  <c r="C35" i="1"/>
  <c r="H34" i="1"/>
  <c r="G18" i="1"/>
  <c r="E19" i="1"/>
  <c r="I18" i="1"/>
  <c r="C19" i="1"/>
  <c r="G19" i="1" s="1"/>
  <c r="F57" i="1"/>
  <c r="D57" i="1"/>
  <c r="F20" i="1"/>
  <c r="I19" i="1" l="1"/>
  <c r="C20" i="1"/>
  <c r="G20" i="1" s="1"/>
  <c r="J20" i="1"/>
  <c r="J19" i="1"/>
  <c r="E20" i="1"/>
  <c r="D20" i="1"/>
  <c r="E57" i="1"/>
  <c r="H57" i="1" s="1"/>
  <c r="H56" i="1"/>
  <c r="D35" i="1"/>
  <c r="G57" i="1"/>
  <c r="C58" i="1"/>
  <c r="I20" i="1" l="1"/>
  <c r="D21" i="1"/>
  <c r="H20" i="1"/>
  <c r="C21" i="1"/>
  <c r="E21" i="1"/>
  <c r="I21" i="1" s="1"/>
  <c r="F21" i="1"/>
  <c r="J21" i="1" s="1"/>
  <c r="E35" i="1"/>
  <c r="H35" i="1"/>
  <c r="F58" i="1"/>
  <c r="D58" i="1"/>
  <c r="H21" i="1" l="1"/>
  <c r="C22" i="1"/>
  <c r="F22" i="1"/>
  <c r="J22" i="1" s="1"/>
  <c r="G21" i="1"/>
  <c r="D22" i="1"/>
  <c r="E22" i="1"/>
  <c r="I22" i="1" s="1"/>
  <c r="C36" i="1"/>
  <c r="F35" i="1"/>
  <c r="J35" i="1" s="1"/>
  <c r="I35" i="1"/>
  <c r="E58" i="1"/>
  <c r="H58" i="1" s="1"/>
  <c r="C59" i="1"/>
  <c r="G58" i="1"/>
  <c r="G22" i="1" l="1"/>
  <c r="D23" i="1"/>
  <c r="E23" i="1"/>
  <c r="H22" i="1"/>
  <c r="C23" i="1"/>
  <c r="F23" i="1"/>
  <c r="J23" i="1" s="1"/>
  <c r="D59" i="1"/>
  <c r="F59" i="1"/>
  <c r="D36" i="1"/>
  <c r="H23" i="1" l="1"/>
  <c r="C24" i="1"/>
  <c r="I23" i="1"/>
  <c r="F24" i="1"/>
  <c r="J24" i="1" s="1"/>
  <c r="G23" i="1"/>
  <c r="D24" i="1"/>
  <c r="E24" i="1"/>
  <c r="I24" i="1" s="1"/>
  <c r="E59" i="1"/>
  <c r="G59" i="1"/>
  <c r="H36" i="1"/>
  <c r="E36" i="1"/>
  <c r="C60" i="1"/>
  <c r="F60" i="1" s="1"/>
  <c r="G24" i="1" l="1"/>
  <c r="E25" i="1"/>
  <c r="I25" i="1" s="1"/>
  <c r="D25" i="1"/>
  <c r="H25" i="1" s="1"/>
  <c r="H24" i="1"/>
  <c r="C25" i="1"/>
  <c r="G25" i="1" s="1"/>
  <c r="F25" i="1"/>
  <c r="J25" i="1" s="1"/>
  <c r="D60" i="1"/>
  <c r="E60" i="1" s="1"/>
  <c r="H60" i="1" s="1"/>
  <c r="H59" i="1"/>
  <c r="F36" i="1"/>
  <c r="J36" i="1" s="1"/>
  <c r="C37" i="1"/>
  <c r="I36" i="1"/>
  <c r="C61" i="1"/>
  <c r="G60" i="1"/>
  <c r="C26" i="1"/>
  <c r="G26" i="1" s="1"/>
  <c r="F26" i="1"/>
  <c r="J26" i="1" s="1"/>
  <c r="D26" i="1"/>
  <c r="H26" i="1" s="1"/>
  <c r="E26" i="1"/>
  <c r="I26" i="1" s="1"/>
  <c r="D37" i="1" l="1"/>
  <c r="F61" i="1"/>
  <c r="D61" i="1"/>
  <c r="G61" i="1" l="1"/>
  <c r="E61" i="1"/>
  <c r="H61" i="1" s="1"/>
  <c r="C62" i="1"/>
  <c r="F62" i="1" s="1"/>
  <c r="H37" i="1"/>
  <c r="E37" i="1"/>
  <c r="D62" i="1"/>
  <c r="I37" i="1" l="1"/>
  <c r="F37" i="1"/>
  <c r="J37" i="1" s="1"/>
  <c r="C38" i="1"/>
  <c r="C63" i="1"/>
  <c r="F63" i="1" s="1"/>
  <c r="E62" i="1"/>
  <c r="G62" i="1"/>
  <c r="D38" i="1" l="1"/>
  <c r="E38" i="1" s="1"/>
  <c r="I38" i="1" s="1"/>
  <c r="H62" i="1"/>
  <c r="D63" i="1"/>
  <c r="E63" i="1"/>
  <c r="C64" i="1" l="1"/>
  <c r="G63" i="1"/>
  <c r="H38" i="1"/>
  <c r="F38" i="1"/>
  <c r="J38" i="1" s="1"/>
  <c r="C39" i="1"/>
  <c r="H63" i="1"/>
  <c r="F64" i="1" l="1"/>
  <c r="D64" i="1"/>
  <c r="D39" i="1"/>
  <c r="E39" i="1" s="1"/>
  <c r="I39" i="1" s="1"/>
  <c r="G64" i="1" l="1"/>
  <c r="E64" i="1"/>
  <c r="H64" i="1" s="1"/>
  <c r="H39" i="1"/>
  <c r="F39" i="1"/>
  <c r="J39" i="1" s="1"/>
</calcChain>
</file>

<file path=xl/sharedStrings.xml><?xml version="1.0" encoding="utf-8"?>
<sst xmlns="http://schemas.openxmlformats.org/spreadsheetml/2006/main" count="41" uniqueCount="17">
  <si>
    <t>SISTEM PERSAMAAN LINIER</t>
  </si>
  <si>
    <t>Metode Jacobi</t>
  </si>
  <si>
    <t>Iterasi</t>
  </si>
  <si>
    <t>10x1 - x2 + 2x3          = 6
-x1 + 11x2 - x3 + 3x4 = 25
2x1 - x2 + 10x3 - x4     = -11
3x2 - x3 + 8x4              = 15</t>
  </si>
  <si>
    <t>&gt;&gt;</t>
  </si>
  <si>
    <t>x1</t>
  </si>
  <si>
    <t>Solusi</t>
  </si>
  <si>
    <t>x2</t>
  </si>
  <si>
    <t>x3</t>
  </si>
  <si>
    <t>x4</t>
  </si>
  <si>
    <t xml:space="preserve">Galat </t>
  </si>
  <si>
    <t>x1 = (6 + x2 - 2*x3)/10
x2 = (25 + x1 + x3 - 3*x4)/11
x3 = (-11 - 2*x1 + x2 + x4)/10
x4 = (15 - 3*x2 + x3)/8</t>
  </si>
  <si>
    <t>Metode Gauss-Seidel</t>
  </si>
  <si>
    <t>Metode SOR</t>
  </si>
  <si>
    <t>4x1 + 3 x2        = 24
3x1 + 4x2 - x3 = 30
-x2 + 4x3           = -24</t>
  </si>
  <si>
    <t>ꙍ</t>
  </si>
  <si>
    <t>Praktikum 2 - Metode Numerik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</si>
</sst>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8"/>
      <color theme="1"/>
      <name val="Amasis MT Pro Black"/>
      <family val="1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9" fontId="0" fillId="0" borderId="1" xfId="1" applyFont="1" applyBorder="1"/>
    <xf numFmtId="0" fontId="3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2" fontId="0" fillId="0" borderId="1" xfId="0" applyNumberFormat="1" applyBorder="1"/>
    <xf numFmtId="164" fontId="0" fillId="0" borderId="1" xfId="0" applyNumberFormat="1" applyBorder="1"/>
    <xf numFmtId="0" fontId="0" fillId="0" borderId="0" xfId="0" applyAlignment="1">
      <alignment vertical="top"/>
    </xf>
    <xf numFmtId="0" fontId="0" fillId="2" borderId="0" xfId="0" applyFill="1"/>
    <xf numFmtId="0" fontId="6" fillId="0" borderId="0" xfId="0" applyFont="1"/>
    <xf numFmtId="0" fontId="2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64" fontId="0" fillId="4" borderId="1" xfId="0" applyNumberFormat="1" applyFill="1" applyBorder="1"/>
    <xf numFmtId="0" fontId="0" fillId="4" borderId="1" xfId="0" applyFill="1" applyBorder="1"/>
    <xf numFmtId="9" fontId="0" fillId="4" borderId="1" xfId="1" applyFont="1" applyFill="1" applyBorder="1"/>
    <xf numFmtId="0" fontId="4" fillId="0" borderId="0" xfId="0" applyFont="1" applyAlignment="1">
      <alignment vertic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Sheet1!$C$14:$C$15</c:f>
              <c:strCache>
                <c:ptCount val="2"/>
                <c:pt idx="0">
                  <c:v>Solusi</c:v>
                </c:pt>
                <c:pt idx="1">
                  <c:v>x1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Sheet1!$B$16:$B$24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Sheet1!$C$16:$C$24</c:f>
              <c:numCache>
                <c:formatCode>0.00</c:formatCode>
                <c:ptCount val="9"/>
                <c:pt idx="0" formatCode="General">
                  <c:v>0</c:v>
                </c:pt>
                <c:pt idx="1">
                  <c:v>0.6</c:v>
                </c:pt>
                <c:pt idx="2" formatCode="0.00000">
                  <c:v>1.0472727272727274</c:v>
                </c:pt>
                <c:pt idx="3" formatCode="0.00000">
                  <c:v>0.9326363636363636</c:v>
                </c:pt>
                <c:pt idx="4" formatCode="0.00000">
                  <c:v>1.0151987603305785</c:v>
                </c:pt>
                <c:pt idx="5" formatCode="0.00000">
                  <c:v>0.98899130165289262</c:v>
                </c:pt>
                <c:pt idx="6" formatCode="0.00000">
                  <c:v>1.003198653362134</c:v>
                </c:pt>
                <c:pt idx="7" formatCode="0.00000">
                  <c:v>0.99812847341754318</c:v>
                </c:pt>
                <c:pt idx="8" formatCode="0.00000">
                  <c:v>1.0006251342791859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913-4203-A790-5FF56D39E7FF}"/>
            </c:ext>
          </c:extLst>
        </c:ser>
        <c:ser>
          <c:idx val="1"/>
          <c:order val="1"/>
          <c:tx>
            <c:strRef>
              <c:f>Sheet1!$D$14:$D$15</c:f>
              <c:strCache>
                <c:ptCount val="2"/>
                <c:pt idx="0">
                  <c:v>Solusi</c:v>
                </c:pt>
                <c:pt idx="1">
                  <c:v>x2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Sheet1!$B$16:$B$24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Sheet1!$D$16:$D$24</c:f>
              <c:numCache>
                <c:formatCode>General</c:formatCode>
                <c:ptCount val="9"/>
                <c:pt idx="0">
                  <c:v>0</c:v>
                </c:pt>
                <c:pt idx="1">
                  <c:v>2.2727272727272729</c:v>
                </c:pt>
                <c:pt idx="2">
                  <c:v>1.7159090909090908</c:v>
                </c:pt>
                <c:pt idx="3">
                  <c:v>2.0533057851239671</c:v>
                </c:pt>
                <c:pt idx="4">
                  <c:v>1.9536957644628101</c:v>
                </c:pt>
                <c:pt idx="5">
                  <c:v>2.0114147257700976</c:v>
                </c:pt>
                <c:pt idx="6">
                  <c:v>1.9922412606827571</c:v>
                </c:pt>
                <c:pt idx="7">
                  <c:v>2.0023068815526606</c:v>
                </c:pt>
                <c:pt idx="8">
                  <c:v>1.9986703011223563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913-4203-A790-5FF56D39E7FF}"/>
            </c:ext>
          </c:extLst>
        </c:ser>
        <c:ser>
          <c:idx val="2"/>
          <c:order val="2"/>
          <c:tx>
            <c:strRef>
              <c:f>Sheet1!$E$14:$E$15</c:f>
              <c:strCache>
                <c:ptCount val="2"/>
                <c:pt idx="0">
                  <c:v>Solusi</c:v>
                </c:pt>
                <c:pt idx="1">
                  <c:v>x3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Sheet1!$B$16:$B$24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Sheet1!$E$16:$E$24</c:f>
              <c:numCache>
                <c:formatCode>General</c:formatCode>
                <c:ptCount val="9"/>
                <c:pt idx="0">
                  <c:v>0</c:v>
                </c:pt>
                <c:pt idx="1">
                  <c:v>-1.1000000000000001</c:v>
                </c:pt>
                <c:pt idx="2">
                  <c:v>-0.80522727272727257</c:v>
                </c:pt>
                <c:pt idx="3">
                  <c:v>-1.0493409090909092</c:v>
                </c:pt>
                <c:pt idx="4">
                  <c:v>-0.9681086260330577</c:v>
                </c:pt>
                <c:pt idx="5">
                  <c:v>-1.0102859039256198</c:v>
                </c:pt>
                <c:pt idx="6">
                  <c:v>-0.99452173674633748</c:v>
                </c:pt>
                <c:pt idx="7">
                  <c:v>-1.0019722306195997</c:v>
                </c:pt>
                <c:pt idx="8">
                  <c:v>-0.99903557551317501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913-4203-A790-5FF56D39E7FF}"/>
            </c:ext>
          </c:extLst>
        </c:ser>
        <c:ser>
          <c:idx val="3"/>
          <c:order val="3"/>
          <c:tx>
            <c:strRef>
              <c:f>Sheet1!$F$14:$F$15</c:f>
              <c:strCache>
                <c:ptCount val="2"/>
                <c:pt idx="0">
                  <c:v>Solusi</c:v>
                </c:pt>
                <c:pt idx="1">
                  <c:v>x4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Sheet1!$B$16:$B$24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Sheet1!$F$16:$F$24</c:f>
              <c:numCache>
                <c:formatCode>General</c:formatCode>
                <c:ptCount val="9"/>
                <c:pt idx="0">
                  <c:v>0</c:v>
                </c:pt>
                <c:pt idx="1">
                  <c:v>1.875</c:v>
                </c:pt>
                <c:pt idx="2">
                  <c:v>0.88522727272727275</c:v>
                </c:pt>
                <c:pt idx="3">
                  <c:v>1.1308806818181818</c:v>
                </c:pt>
                <c:pt idx="4">
                  <c:v>0.97384271694214875</c:v>
                </c:pt>
                <c:pt idx="5">
                  <c:v>1.0213505100723141</c:v>
                </c:pt>
                <c:pt idx="6">
                  <c:v>0.99443373984551098</c:v>
                </c:pt>
                <c:pt idx="7">
                  <c:v>1.0035943101506739</c:v>
                </c:pt>
                <c:pt idx="8">
                  <c:v>0.99888839059030232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913-4203-A790-5FF56D39E7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4429344"/>
        <c:axId val="1549349776"/>
      </c:scatterChart>
      <c:valAx>
        <c:axId val="1604429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349776"/>
        <c:crosses val="autoZero"/>
        <c:crossBetween val="midCat"/>
      </c:valAx>
      <c:valAx>
        <c:axId val="154934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44293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Metode Jacobi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Sheet1!$C$15</c:f>
              <c:strCache>
                <c:ptCount val="1"/>
                <c:pt idx="0">
                  <c:v>x1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Sheet1!$B$16:$B$24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Sheet1!$C$16:$C$24</c:f>
              <c:numCache>
                <c:formatCode>0.00</c:formatCode>
                <c:ptCount val="9"/>
                <c:pt idx="0" formatCode="General">
                  <c:v>0</c:v>
                </c:pt>
                <c:pt idx="1">
                  <c:v>0.6</c:v>
                </c:pt>
                <c:pt idx="2" formatCode="0.00000">
                  <c:v>1.0472727272727274</c:v>
                </c:pt>
                <c:pt idx="3" formatCode="0.00000">
                  <c:v>0.9326363636363636</c:v>
                </c:pt>
                <c:pt idx="4" formatCode="0.00000">
                  <c:v>1.0151987603305785</c:v>
                </c:pt>
                <c:pt idx="5" formatCode="0.00000">
                  <c:v>0.98899130165289262</c:v>
                </c:pt>
                <c:pt idx="6" formatCode="0.00000">
                  <c:v>1.003198653362134</c:v>
                </c:pt>
                <c:pt idx="7" formatCode="0.00000">
                  <c:v>0.99812847341754318</c:v>
                </c:pt>
                <c:pt idx="8" formatCode="0.00000">
                  <c:v>1.0006251342791859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E18-4614-9357-BE612C0374AE}"/>
            </c:ext>
          </c:extLst>
        </c:ser>
        <c:ser>
          <c:idx val="1"/>
          <c:order val="1"/>
          <c:tx>
            <c:strRef>
              <c:f>Sheet1!$D$15</c:f>
              <c:strCache>
                <c:ptCount val="1"/>
                <c:pt idx="0">
                  <c:v>x2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Sheet1!$B$16:$B$24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Sheet1!$D$16:$D$24</c:f>
              <c:numCache>
                <c:formatCode>General</c:formatCode>
                <c:ptCount val="9"/>
                <c:pt idx="0">
                  <c:v>0</c:v>
                </c:pt>
                <c:pt idx="1">
                  <c:v>2.2727272727272729</c:v>
                </c:pt>
                <c:pt idx="2">
                  <c:v>1.7159090909090908</c:v>
                </c:pt>
                <c:pt idx="3">
                  <c:v>2.0533057851239671</c:v>
                </c:pt>
                <c:pt idx="4">
                  <c:v>1.9536957644628101</c:v>
                </c:pt>
                <c:pt idx="5">
                  <c:v>2.0114147257700976</c:v>
                </c:pt>
                <c:pt idx="6">
                  <c:v>1.9922412606827571</c:v>
                </c:pt>
                <c:pt idx="7">
                  <c:v>2.0023068815526606</c:v>
                </c:pt>
                <c:pt idx="8">
                  <c:v>1.9986703011223563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E18-4614-9357-BE612C0374AE}"/>
            </c:ext>
          </c:extLst>
        </c:ser>
        <c:ser>
          <c:idx val="2"/>
          <c:order val="2"/>
          <c:tx>
            <c:strRef>
              <c:f>Sheet1!$E$15</c:f>
              <c:strCache>
                <c:ptCount val="1"/>
                <c:pt idx="0">
                  <c:v>x3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Sheet1!$B$16:$B$24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Sheet1!$E$16:$E$24</c:f>
              <c:numCache>
                <c:formatCode>General</c:formatCode>
                <c:ptCount val="9"/>
                <c:pt idx="0">
                  <c:v>0</c:v>
                </c:pt>
                <c:pt idx="1">
                  <c:v>-1.1000000000000001</c:v>
                </c:pt>
                <c:pt idx="2">
                  <c:v>-0.80522727272727257</c:v>
                </c:pt>
                <c:pt idx="3">
                  <c:v>-1.0493409090909092</c:v>
                </c:pt>
                <c:pt idx="4">
                  <c:v>-0.9681086260330577</c:v>
                </c:pt>
                <c:pt idx="5">
                  <c:v>-1.0102859039256198</c:v>
                </c:pt>
                <c:pt idx="6">
                  <c:v>-0.99452173674633748</c:v>
                </c:pt>
                <c:pt idx="7">
                  <c:v>-1.0019722306195997</c:v>
                </c:pt>
                <c:pt idx="8">
                  <c:v>-0.99903557551317501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E18-4614-9357-BE612C0374AE}"/>
            </c:ext>
          </c:extLst>
        </c:ser>
        <c:ser>
          <c:idx val="3"/>
          <c:order val="3"/>
          <c:tx>
            <c:strRef>
              <c:f>Sheet1!$F$15</c:f>
              <c:strCache>
                <c:ptCount val="1"/>
                <c:pt idx="0">
                  <c:v>x4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Sheet1!$B$16:$B$24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Sheet1!$F$16:$F$24</c:f>
              <c:numCache>
                <c:formatCode>General</c:formatCode>
                <c:ptCount val="9"/>
                <c:pt idx="0">
                  <c:v>0</c:v>
                </c:pt>
                <c:pt idx="1">
                  <c:v>1.875</c:v>
                </c:pt>
                <c:pt idx="2">
                  <c:v>0.88522727272727275</c:v>
                </c:pt>
                <c:pt idx="3">
                  <c:v>1.1308806818181818</c:v>
                </c:pt>
                <c:pt idx="4">
                  <c:v>0.97384271694214875</c:v>
                </c:pt>
                <c:pt idx="5">
                  <c:v>1.0213505100723141</c:v>
                </c:pt>
                <c:pt idx="6">
                  <c:v>0.99443373984551098</c:v>
                </c:pt>
                <c:pt idx="7">
                  <c:v>1.0035943101506739</c:v>
                </c:pt>
                <c:pt idx="8">
                  <c:v>0.99888839059030232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E18-4614-9357-BE612C0374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6827696"/>
        <c:axId val="1346871952"/>
      </c:scatterChart>
      <c:valAx>
        <c:axId val="1716827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871952"/>
        <c:crosses val="autoZero"/>
        <c:crossBetween val="midCat"/>
      </c:valAx>
      <c:valAx>
        <c:axId val="134687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68276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Metode Gauss-Seidel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Sheet1!$C$32</c:f>
              <c:strCache>
                <c:ptCount val="1"/>
                <c:pt idx="0">
                  <c:v>x1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Sheet1!$B$33:$B$39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Sheet1!$C$33:$C$39</c:f>
              <c:numCache>
                <c:formatCode>General</c:formatCode>
                <c:ptCount val="7"/>
                <c:pt idx="0">
                  <c:v>0</c:v>
                </c:pt>
                <c:pt idx="1">
                  <c:v>0.6</c:v>
                </c:pt>
                <c:pt idx="2">
                  <c:v>1.0301818181818183</c:v>
                </c:pt>
                <c:pt idx="3">
                  <c:v>1.0065850413223141</c:v>
                </c:pt>
                <c:pt idx="4">
                  <c:v>1.0008609786250939</c:v>
                </c:pt>
                <c:pt idx="5">
                  <c:v>1.0000912802859949</c:v>
                </c:pt>
                <c:pt idx="6">
                  <c:v>1.0000083636613348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024-47FA-9AD0-12517F0E7406}"/>
            </c:ext>
          </c:extLst>
        </c:ser>
        <c:ser>
          <c:idx val="1"/>
          <c:order val="1"/>
          <c:tx>
            <c:strRef>
              <c:f>Sheet1!$D$32</c:f>
              <c:strCache>
                <c:ptCount val="1"/>
                <c:pt idx="0">
                  <c:v>x2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Sheet1!$B$33:$B$39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Sheet1!$D$33:$D$39</c:f>
              <c:numCache>
                <c:formatCode>General</c:formatCode>
                <c:ptCount val="7"/>
                <c:pt idx="0">
                  <c:v>0</c:v>
                </c:pt>
                <c:pt idx="1">
                  <c:v>2.3272727272727276</c:v>
                </c:pt>
                <c:pt idx="2">
                  <c:v>2.0369380165289255</c:v>
                </c:pt>
                <c:pt idx="3">
                  <c:v>2.003555016904583</c:v>
                </c:pt>
                <c:pt idx="4">
                  <c:v>2.000298250656547</c:v>
                </c:pt>
                <c:pt idx="5">
                  <c:v>2.000021342246459</c:v>
                </c:pt>
                <c:pt idx="6">
                  <c:v>2.0000011733362677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024-47FA-9AD0-12517F0E7406}"/>
            </c:ext>
          </c:extLst>
        </c:ser>
        <c:ser>
          <c:idx val="2"/>
          <c:order val="2"/>
          <c:tx>
            <c:strRef>
              <c:f>Sheet1!$E$32</c:f>
              <c:strCache>
                <c:ptCount val="1"/>
                <c:pt idx="0">
                  <c:v>x3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Sheet1!$B$33:$B$39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Sheet1!$E$33:$E$39</c:f>
              <c:numCache>
                <c:formatCode>General</c:formatCode>
                <c:ptCount val="7"/>
                <c:pt idx="0">
                  <c:v>0</c:v>
                </c:pt>
                <c:pt idx="1">
                  <c:v>-0.98727272727272708</c:v>
                </c:pt>
                <c:pt idx="2">
                  <c:v>-1.0144561983471074</c:v>
                </c:pt>
                <c:pt idx="3">
                  <c:v>-1.0025273846731779</c:v>
                </c:pt>
                <c:pt idx="4">
                  <c:v>-1.0003072761017007</c:v>
                </c:pt>
                <c:pt idx="5">
                  <c:v>-1.0000311471834449</c:v>
                </c:pt>
                <c:pt idx="6">
                  <c:v>-1.0000027450726754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024-47FA-9AD0-12517F0E7406}"/>
            </c:ext>
          </c:extLst>
        </c:ser>
        <c:ser>
          <c:idx val="3"/>
          <c:order val="3"/>
          <c:tx>
            <c:strRef>
              <c:f>Sheet1!$F$32</c:f>
              <c:strCache>
                <c:ptCount val="1"/>
                <c:pt idx="0">
                  <c:v>x4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Sheet1!$B$33:$B$39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Sheet1!$F$33:$F$39</c:f>
              <c:numCache>
                <c:formatCode>General</c:formatCode>
                <c:ptCount val="7"/>
                <c:pt idx="0">
                  <c:v>0</c:v>
                </c:pt>
                <c:pt idx="1">
                  <c:v>0.87886363636363629</c:v>
                </c:pt>
                <c:pt idx="2">
                  <c:v>0.98434121900826443</c:v>
                </c:pt>
                <c:pt idx="3">
                  <c:v>0.99835094557663417</c:v>
                </c:pt>
                <c:pt idx="4">
                  <c:v>0.99984974649108227</c:v>
                </c:pt>
                <c:pt idx="5">
                  <c:v>0.99998810325964727</c:v>
                </c:pt>
                <c:pt idx="6">
                  <c:v>0.99999921686481508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024-47FA-9AD0-12517F0E74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6815696"/>
        <c:axId val="1359905344"/>
      </c:scatterChart>
      <c:valAx>
        <c:axId val="1716815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905344"/>
        <c:crosses val="autoZero"/>
        <c:crossBetween val="midCat"/>
      </c:valAx>
      <c:valAx>
        <c:axId val="135990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68156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Metode SOR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Sheet1!$C$54</c:f>
              <c:strCache>
                <c:ptCount val="1"/>
                <c:pt idx="0">
                  <c:v>x1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Sheet1!$B$55:$B$64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xVal>
          <c:yVal>
            <c:numRef>
              <c:f>Sheet1!$C$55:$C$64</c:f>
              <c:numCache>
                <c:formatCode>General</c:formatCode>
                <c:ptCount val="10"/>
                <c:pt idx="0">
                  <c:v>0</c:v>
                </c:pt>
                <c:pt idx="1">
                  <c:v>7.5</c:v>
                </c:pt>
                <c:pt idx="2">
                  <c:v>3.427734375</c:v>
                </c:pt>
                <c:pt idx="3">
                  <c:v>3.3986663818359375</c:v>
                </c:pt>
                <c:pt idx="4">
                  <c:v>3.044237494468689</c:v>
                </c:pt>
                <c:pt idx="5">
                  <c:v>3.0259199207648635</c:v>
                </c:pt>
                <c:pt idx="6">
                  <c:v>3.0021489591672434</c:v>
                </c:pt>
                <c:pt idx="7">
                  <c:v>3.0012637832223277</c:v>
                </c:pt>
                <c:pt idx="8">
                  <c:v>3.0000030455146898</c:v>
                </c:pt>
                <c:pt idx="9">
                  <c:v>3.0000386939840102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491-4F26-A0BF-58EDCBA45B23}"/>
            </c:ext>
          </c:extLst>
        </c:ser>
        <c:ser>
          <c:idx val="1"/>
          <c:order val="1"/>
          <c:tx>
            <c:strRef>
              <c:f>Sheet1!$D$54</c:f>
              <c:strCache>
                <c:ptCount val="1"/>
                <c:pt idx="0">
                  <c:v>x2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Sheet1!$B$55:$B$64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xVal>
          <c:yVal>
            <c:numRef>
              <c:f>Sheet1!$D$55:$D$64</c:f>
              <c:numCache>
                <c:formatCode>General</c:formatCode>
                <c:ptCount val="10"/>
                <c:pt idx="0">
                  <c:v>0</c:v>
                </c:pt>
                <c:pt idx="1">
                  <c:v>2.34375</c:v>
                </c:pt>
                <c:pt idx="2">
                  <c:v>3.460693359375</c:v>
                </c:pt>
                <c:pt idx="3">
                  <c:v>3.8465023040771484</c:v>
                </c:pt>
                <c:pt idx="4">
                  <c:v>3.9605554193258286</c:v>
                </c:pt>
                <c:pt idx="5">
                  <c:v>3.9907957980176434</c:v>
                </c:pt>
                <c:pt idx="6">
                  <c:v>3.9980789087849189</c:v>
                </c:pt>
                <c:pt idx="7">
                  <c:v>3.9996597425917102</c:v>
                </c:pt>
                <c:pt idx="8">
                  <c:v>3.999957914279805</c:v>
                </c:pt>
                <c:pt idx="9">
                  <c:v>4.0000012096119884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491-4F26-A0BF-58EDCBA45B23}"/>
            </c:ext>
          </c:extLst>
        </c:ser>
        <c:ser>
          <c:idx val="2"/>
          <c:order val="2"/>
          <c:tx>
            <c:strRef>
              <c:f>Sheet1!$E$54</c:f>
              <c:strCache>
                <c:ptCount val="1"/>
                <c:pt idx="0">
                  <c:v>x3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Sheet1!$B$55:$B$64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xVal>
          <c:yVal>
            <c:numRef>
              <c:f>Sheet1!$E$55:$E$64</c:f>
              <c:numCache>
                <c:formatCode>General</c:formatCode>
                <c:ptCount val="10"/>
                <c:pt idx="0">
                  <c:v>0</c:v>
                </c:pt>
                <c:pt idx="1">
                  <c:v>-6.767578125</c:v>
                </c:pt>
                <c:pt idx="2">
                  <c:v>-4.7266387939453125</c:v>
                </c:pt>
                <c:pt idx="3">
                  <c:v>-5.116308331489563</c:v>
                </c:pt>
                <c:pt idx="4">
                  <c:v>-4.9832493485882878</c:v>
                </c:pt>
                <c:pt idx="5">
                  <c:v>-5.0070639759724145</c:v>
                </c:pt>
                <c:pt idx="6">
                  <c:v>-4.9988343470116092</c:v>
                </c:pt>
                <c:pt idx="7">
                  <c:v>-5.0003977436871878</c:v>
                </c:pt>
                <c:pt idx="8">
                  <c:v>-4.9999137158657643</c:v>
                </c:pt>
                <c:pt idx="9">
                  <c:v>-5.0000211930298128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491-4F26-A0BF-58EDCBA45B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2477408"/>
        <c:axId val="1720870912"/>
      </c:scatterChart>
      <c:valAx>
        <c:axId val="1552477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870912"/>
        <c:crosses val="autoZero"/>
        <c:crossBetween val="midCat"/>
      </c:valAx>
      <c:valAx>
        <c:axId val="172087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4774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11</xdr:row>
      <xdr:rowOff>147637</xdr:rowOff>
    </xdr:from>
    <xdr:to>
      <xdr:col>18</xdr:col>
      <xdr:colOff>228600</xdr:colOff>
      <xdr:row>26</xdr:row>
      <xdr:rowOff>33337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8EA5AB-8AF6-4BBE-9085-B67E425392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533400</xdr:colOff>
      <xdr:row>11</xdr:row>
      <xdr:rowOff>147637</xdr:rowOff>
    </xdr:from>
    <xdr:to>
      <xdr:col>18</xdr:col>
      <xdr:colOff>228600</xdr:colOff>
      <xdr:row>26</xdr:row>
      <xdr:rowOff>33337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744ED95-4E7B-4721-AFC8-FB9FA1CD5F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533400</xdr:colOff>
      <xdr:row>29</xdr:row>
      <xdr:rowOff>4762</xdr:rowOff>
    </xdr:from>
    <xdr:to>
      <xdr:col>18</xdr:col>
      <xdr:colOff>228600</xdr:colOff>
      <xdr:row>43</xdr:row>
      <xdr:rowOff>80962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7ECED94-A021-4F6E-A6C2-25BE35C513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13</xdr:col>
      <xdr:colOff>533400</xdr:colOff>
      <xdr:row>41</xdr:row>
      <xdr:rowOff>100012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2629DD5-1679-48D7-A804-8A6AD40D6F14}"/>
            </a:ext>
          </a:extLst>
        </xdr:cNvPr>
        <xdr:cNvSpPr txBox="1"/>
      </xdr:nvSpPr>
      <xdr:spPr>
        <a:xfrm>
          <a:off x="8458200" y="83105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10</xdr:col>
      <xdr:colOff>542925</xdr:colOff>
      <xdr:row>51</xdr:row>
      <xdr:rowOff>14287</xdr:rowOff>
    </xdr:from>
    <xdr:to>
      <xdr:col>18</xdr:col>
      <xdr:colOff>238125</xdr:colOff>
      <xdr:row>64</xdr:row>
      <xdr:rowOff>80962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143EB7D-B62D-4D06-8FB6-3463086C67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160A0-0197-44CA-B9AE-4A09DB2205B4}">
  <dimension ref="A2:S67"/>
  <sheetViews>
    <sheetView tabSelected="1" topLeftCell="A71" zoomScale="80" workbookViewId="0">
      <selection activeCell="E17" sqref="E17"/>
    </sheetView>
  </sheetViews>
  <sheetFormatPr defaultRowHeight="14.5" x14ac:dyDescent="0.35"/>
  <sheetData>
    <row r="2" spans="1:10" ht="24.5" x14ac:dyDescent="0.65">
      <c r="A2" s="11" t="s">
        <v>16</v>
      </c>
    </row>
    <row r="4" spans="1:10" x14ac:dyDescent="0.35">
      <c r="A4" s="25" t="s">
        <v>0</v>
      </c>
      <c r="B4" s="25"/>
      <c r="C4" s="25"/>
      <c r="D4" s="25"/>
      <c r="E4" s="25"/>
      <c r="F4" s="25"/>
      <c r="G4" s="25"/>
      <c r="H4" s="25"/>
      <c r="I4" s="25"/>
      <c r="J4" s="25"/>
    </row>
    <row r="5" spans="1:10" x14ac:dyDescent="0.35">
      <c r="A5" s="25"/>
      <c r="B5" s="25"/>
      <c r="C5" s="25"/>
      <c r="D5" s="25"/>
      <c r="E5" s="25"/>
      <c r="F5" s="25"/>
      <c r="G5" s="25"/>
      <c r="H5" s="25"/>
      <c r="I5" s="25"/>
      <c r="J5" s="25"/>
    </row>
    <row r="6" spans="1:10" ht="15" customHeight="1" x14ac:dyDescent="0.35">
      <c r="B6" s="27" t="s">
        <v>3</v>
      </c>
      <c r="C6" s="27"/>
      <c r="D6" s="27"/>
      <c r="E6" s="26" t="s">
        <v>4</v>
      </c>
      <c r="F6" s="23" t="s">
        <v>11</v>
      </c>
      <c r="G6" s="24"/>
      <c r="H6" s="24"/>
    </row>
    <row r="7" spans="1:10" x14ac:dyDescent="0.35">
      <c r="A7" s="4"/>
      <c r="B7" s="27"/>
      <c r="C7" s="27"/>
      <c r="D7" s="27"/>
      <c r="E7" s="26"/>
      <c r="F7" s="24"/>
      <c r="G7" s="24"/>
      <c r="H7" s="24"/>
    </row>
    <row r="8" spans="1:10" x14ac:dyDescent="0.35">
      <c r="B8" s="27"/>
      <c r="C8" s="27"/>
      <c r="D8" s="27"/>
      <c r="E8" s="26"/>
      <c r="F8" s="24"/>
      <c r="G8" s="24"/>
      <c r="H8" s="24"/>
    </row>
    <row r="9" spans="1:10" x14ac:dyDescent="0.35">
      <c r="B9" s="27"/>
      <c r="C9" s="27"/>
      <c r="D9" s="27"/>
      <c r="E9" s="26"/>
      <c r="F9" s="24"/>
      <c r="G9" s="24"/>
      <c r="H9" s="24"/>
    </row>
    <row r="10" spans="1:10" x14ac:dyDescent="0.35">
      <c r="B10" s="27"/>
      <c r="C10" s="27"/>
      <c r="D10" s="27"/>
      <c r="E10" s="26"/>
      <c r="F10" s="24"/>
      <c r="G10" s="24"/>
      <c r="H10" s="24"/>
    </row>
    <row r="13" spans="1:10" ht="26" x14ac:dyDescent="0.35">
      <c r="A13" s="4"/>
      <c r="B13" s="22" t="s">
        <v>1</v>
      </c>
      <c r="C13" s="22"/>
      <c r="D13" s="22"/>
      <c r="E13" s="22"/>
      <c r="F13" s="22"/>
      <c r="G13" s="22"/>
      <c r="H13" s="22"/>
      <c r="I13" s="22"/>
      <c r="J13" s="22"/>
    </row>
    <row r="14" spans="1:10" ht="18.5" x14ac:dyDescent="0.45">
      <c r="B14" s="20" t="s">
        <v>2</v>
      </c>
      <c r="C14" s="21" t="s">
        <v>6</v>
      </c>
      <c r="D14" s="21"/>
      <c r="E14" s="21"/>
      <c r="F14" s="21"/>
      <c r="G14" s="21" t="s">
        <v>10</v>
      </c>
      <c r="H14" s="21"/>
      <c r="I14" s="21"/>
      <c r="J14" s="21"/>
    </row>
    <row r="15" spans="1:10" ht="15.5" x14ac:dyDescent="0.35">
      <c r="B15" s="20"/>
      <c r="C15" s="12" t="s">
        <v>5</v>
      </c>
      <c r="D15" s="12" t="s">
        <v>7</v>
      </c>
      <c r="E15" s="12" t="s">
        <v>8</v>
      </c>
      <c r="F15" s="12" t="s">
        <v>9</v>
      </c>
      <c r="G15" s="12" t="s">
        <v>5</v>
      </c>
      <c r="H15" s="12" t="s">
        <v>7</v>
      </c>
      <c r="I15" s="12" t="s">
        <v>8</v>
      </c>
      <c r="J15" s="12" t="s">
        <v>9</v>
      </c>
    </row>
    <row r="16" spans="1:10" x14ac:dyDescent="0.35">
      <c r="B16" s="5">
        <v>0</v>
      </c>
      <c r="C16" s="6">
        <v>0</v>
      </c>
      <c r="D16" s="6">
        <v>0</v>
      </c>
      <c r="E16" s="6">
        <v>0</v>
      </c>
      <c r="F16" s="6">
        <v>0</v>
      </c>
      <c r="G16" s="6"/>
      <c r="H16" s="6"/>
      <c r="I16" s="6"/>
      <c r="J16" s="6"/>
    </row>
    <row r="17" spans="2:16" x14ac:dyDescent="0.35">
      <c r="B17" s="5">
        <v>1</v>
      </c>
      <c r="C17" s="7">
        <f xml:space="preserve"> (6+D16-2*E16)/10</f>
        <v>0.6</v>
      </c>
      <c r="D17" s="6">
        <f xml:space="preserve"> (25 + C16+E16-3*F16)/11</f>
        <v>2.2727272727272729</v>
      </c>
      <c r="E17" s="6">
        <f xml:space="preserve"> (-11 -2*C16+D16+F16)/10</f>
        <v>-1.1000000000000001</v>
      </c>
      <c r="F17" s="6">
        <f xml:space="preserve"> (15 -3*D16+E16)/8</f>
        <v>1.875</v>
      </c>
      <c r="G17" s="1">
        <f>ABS(($C$17-$C$16)/$C$17)</f>
        <v>1</v>
      </c>
      <c r="H17" s="1">
        <f t="shared" ref="H17:J17" si="0">ABS(($C$17-$C$16)/$C$17)</f>
        <v>1</v>
      </c>
      <c r="I17" s="1">
        <f t="shared" si="0"/>
        <v>1</v>
      </c>
      <c r="J17" s="1">
        <f t="shared" si="0"/>
        <v>1</v>
      </c>
    </row>
    <row r="18" spans="2:16" x14ac:dyDescent="0.35">
      <c r="B18" s="5">
        <v>2</v>
      </c>
      <c r="C18" s="8">
        <f t="shared" ref="C18:C26" si="1" xml:space="preserve"> (6+D17-2*E17)/10</f>
        <v>1.0472727272727274</v>
      </c>
      <c r="D18" s="6">
        <f t="shared" ref="D18:D26" si="2" xml:space="preserve"> (25 + C17+E17-3*F17)/11</f>
        <v>1.7159090909090908</v>
      </c>
      <c r="E18" s="6">
        <f t="shared" ref="E18:E26" si="3" xml:space="preserve"> (-11 -2*C17+D17+F17)/10</f>
        <v>-0.80522727272727257</v>
      </c>
      <c r="F18" s="6">
        <f t="shared" ref="F18:F26" si="4" xml:space="preserve"> (15 -3*D17+E17)/8</f>
        <v>0.88522727272727275</v>
      </c>
      <c r="G18" s="1">
        <f t="shared" ref="G18:G26" si="5">ABS((C18-C17)/C18)</f>
        <v>0.42708333333333343</v>
      </c>
      <c r="H18" s="1">
        <f t="shared" ref="H18:H26" si="6">ABS((D18-D17)/D18)</f>
        <v>0.3245033112582783</v>
      </c>
      <c r="I18" s="1">
        <f t="shared" ref="I18:I26" si="7">ABS((E18-E17)/E18)</f>
        <v>0.36607394863110398</v>
      </c>
      <c r="J18" s="1">
        <f t="shared" ref="J18:J26" si="8">ABS((F18-F17)/F18)</f>
        <v>1.1181001283697047</v>
      </c>
    </row>
    <row r="19" spans="2:16" x14ac:dyDescent="0.35">
      <c r="B19" s="5">
        <v>3</v>
      </c>
      <c r="C19" s="8">
        <f t="shared" si="1"/>
        <v>0.9326363636363636</v>
      </c>
      <c r="D19" s="6">
        <f t="shared" si="2"/>
        <v>2.0533057851239671</v>
      </c>
      <c r="E19" s="6">
        <f t="shared" si="3"/>
        <v>-1.0493409090909092</v>
      </c>
      <c r="F19" s="6">
        <f t="shared" si="4"/>
        <v>1.1308806818181818</v>
      </c>
      <c r="G19" s="1">
        <f t="shared" si="5"/>
        <v>0.12291646359294292</v>
      </c>
      <c r="H19" s="1">
        <f t="shared" si="6"/>
        <v>0.16431877641376547</v>
      </c>
      <c r="I19" s="1">
        <f t="shared" si="7"/>
        <v>0.23263520391587814</v>
      </c>
      <c r="J19" s="1">
        <f t="shared" si="8"/>
        <v>0.2172231014645665</v>
      </c>
    </row>
    <row r="20" spans="2:16" x14ac:dyDescent="0.35">
      <c r="B20" s="5">
        <v>4</v>
      </c>
      <c r="C20" s="8">
        <f t="shared" si="1"/>
        <v>1.0151987603305785</v>
      </c>
      <c r="D20" s="6">
        <f t="shared" si="2"/>
        <v>1.9536957644628101</v>
      </c>
      <c r="E20" s="6">
        <f t="shared" si="3"/>
        <v>-0.9681086260330577</v>
      </c>
      <c r="F20" s="6">
        <f t="shared" si="4"/>
        <v>0.97384271694214875</v>
      </c>
      <c r="G20" s="1">
        <f t="shared" si="5"/>
        <v>8.1326337186749725E-2</v>
      </c>
      <c r="H20" s="1">
        <f t="shared" si="6"/>
        <v>5.0985431034368776E-2</v>
      </c>
      <c r="I20" s="1">
        <f t="shared" si="7"/>
        <v>8.3908231858970797E-2</v>
      </c>
      <c r="J20" s="1">
        <f t="shared" si="8"/>
        <v>0.16125598327533822</v>
      </c>
      <c r="N20" s="9"/>
      <c r="O20" s="9"/>
      <c r="P20" s="9"/>
    </row>
    <row r="21" spans="2:16" x14ac:dyDescent="0.35">
      <c r="B21" s="5">
        <v>5</v>
      </c>
      <c r="C21" s="8">
        <f t="shared" si="1"/>
        <v>0.98899130165289262</v>
      </c>
      <c r="D21" s="6">
        <f t="shared" si="2"/>
        <v>2.0114147257700976</v>
      </c>
      <c r="E21" s="6">
        <f t="shared" si="3"/>
        <v>-1.0102859039256198</v>
      </c>
      <c r="F21" s="6">
        <f t="shared" si="4"/>
        <v>1.0213505100723141</v>
      </c>
      <c r="G21" s="1">
        <f t="shared" si="5"/>
        <v>2.6499180158496467E-2</v>
      </c>
      <c r="H21" s="1">
        <f t="shared" si="6"/>
        <v>2.8695703858481494E-2</v>
      </c>
      <c r="I21" s="1">
        <f t="shared" si="7"/>
        <v>4.1747863380728022E-2</v>
      </c>
      <c r="J21" s="1">
        <f t="shared" si="8"/>
        <v>4.651468096569681E-2</v>
      </c>
      <c r="N21" s="9"/>
      <c r="O21" s="9"/>
      <c r="P21" s="9"/>
    </row>
    <row r="22" spans="2:16" x14ac:dyDescent="0.35">
      <c r="B22" s="5">
        <v>6</v>
      </c>
      <c r="C22" s="8">
        <f t="shared" si="1"/>
        <v>1.003198653362134</v>
      </c>
      <c r="D22" s="6">
        <f t="shared" si="2"/>
        <v>1.9922412606827571</v>
      </c>
      <c r="E22" s="6">
        <f t="shared" si="3"/>
        <v>-0.99452173674633748</v>
      </c>
      <c r="F22" s="6">
        <f t="shared" si="4"/>
        <v>0.99443373984551098</v>
      </c>
      <c r="G22" s="1">
        <f t="shared" si="5"/>
        <v>1.4162052213314531E-2</v>
      </c>
      <c r="H22" s="1">
        <f t="shared" si="6"/>
        <v>9.6240678605208803E-3</v>
      </c>
      <c r="I22" s="1">
        <f t="shared" si="7"/>
        <v>1.585100314735817E-2</v>
      </c>
      <c r="J22" s="1">
        <f t="shared" si="8"/>
        <v>2.7067434609554568E-2</v>
      </c>
      <c r="N22" s="9"/>
      <c r="O22" s="9"/>
      <c r="P22" s="9"/>
    </row>
    <row r="23" spans="2:16" x14ac:dyDescent="0.35">
      <c r="B23" s="5">
        <v>7</v>
      </c>
      <c r="C23" s="8">
        <f t="shared" si="1"/>
        <v>0.99812847341754318</v>
      </c>
      <c r="D23" s="6">
        <f t="shared" si="2"/>
        <v>2.0023068815526606</v>
      </c>
      <c r="E23" s="6">
        <f t="shared" si="3"/>
        <v>-1.0019722306195997</v>
      </c>
      <c r="F23" s="6">
        <f t="shared" si="4"/>
        <v>1.0035943101506739</v>
      </c>
      <c r="G23" s="1">
        <f t="shared" si="5"/>
        <v>5.0796867133053062E-3</v>
      </c>
      <c r="H23" s="1">
        <f t="shared" si="6"/>
        <v>5.0270120742422044E-3</v>
      </c>
      <c r="I23" s="1">
        <f t="shared" si="7"/>
        <v>7.4358287042097021E-3</v>
      </c>
      <c r="J23" s="1">
        <f t="shared" si="8"/>
        <v>9.1277622964877243E-3</v>
      </c>
    </row>
    <row r="24" spans="2:16" x14ac:dyDescent="0.35">
      <c r="B24" s="5">
        <v>8</v>
      </c>
      <c r="C24" s="8">
        <f t="shared" si="1"/>
        <v>1.0006251342791859</v>
      </c>
      <c r="D24" s="6">
        <f t="shared" si="2"/>
        <v>1.9986703011223563</v>
      </c>
      <c r="E24" s="6">
        <f t="shared" si="3"/>
        <v>-0.99903557551317501</v>
      </c>
      <c r="F24" s="6">
        <f t="shared" si="4"/>
        <v>0.99888839059030232</v>
      </c>
      <c r="G24" s="1">
        <f t="shared" si="5"/>
        <v>2.4951010884222786E-3</v>
      </c>
      <c r="H24" s="1">
        <f t="shared" si="6"/>
        <v>1.8194999086453177E-3</v>
      </c>
      <c r="I24" s="1">
        <f t="shared" si="7"/>
        <v>2.9394900225812679E-3</v>
      </c>
      <c r="J24" s="1">
        <f t="shared" si="8"/>
        <v>4.7111565262967755E-3</v>
      </c>
    </row>
    <row r="25" spans="2:16" x14ac:dyDescent="0.35">
      <c r="B25" s="13">
        <v>9</v>
      </c>
      <c r="C25" s="14">
        <f t="shared" si="1"/>
        <v>0.99967414521487064</v>
      </c>
      <c r="D25" s="15">
        <f t="shared" si="2"/>
        <v>2.0004476715450092</v>
      </c>
      <c r="E25" s="15">
        <f t="shared" si="3"/>
        <v>-1.0003691576845715</v>
      </c>
      <c r="F25" s="15">
        <f t="shared" si="4"/>
        <v>1.0006191901399695</v>
      </c>
      <c r="G25" s="16">
        <f t="shared" si="5"/>
        <v>9.5129904966265459E-4</v>
      </c>
      <c r="H25" s="16">
        <f t="shared" si="6"/>
        <v>8.8848633630101077E-4</v>
      </c>
      <c r="I25" s="16">
        <f t="shared" si="7"/>
        <v>1.3330900509599148E-3</v>
      </c>
      <c r="J25" s="16">
        <f t="shared" si="8"/>
        <v>1.7297285188234708E-3</v>
      </c>
    </row>
    <row r="26" spans="2:16" x14ac:dyDescent="0.35">
      <c r="B26" s="13">
        <v>10</v>
      </c>
      <c r="C26" s="14">
        <f t="shared" si="1"/>
        <v>1.0001185986914152</v>
      </c>
      <c r="D26" s="15">
        <f t="shared" si="2"/>
        <v>1.9997679470100358</v>
      </c>
      <c r="E26" s="15">
        <f t="shared" si="3"/>
        <v>-0.9998281428744763</v>
      </c>
      <c r="F26" s="15">
        <f t="shared" si="4"/>
        <v>0.99978597846005013</v>
      </c>
      <c r="G26" s="16">
        <f t="shared" si="5"/>
        <v>4.4440077119460981E-4</v>
      </c>
      <c r="H26" s="16">
        <f t="shared" si="6"/>
        <v>3.399017050902036E-4</v>
      </c>
      <c r="I26" s="16">
        <f t="shared" si="7"/>
        <v>5.4110780332684209E-4</v>
      </c>
      <c r="J26" s="16">
        <f t="shared" si="8"/>
        <v>8.3339004333979794E-4</v>
      </c>
    </row>
    <row r="30" spans="2:16" ht="26" x14ac:dyDescent="0.35">
      <c r="B30" s="22" t="s">
        <v>12</v>
      </c>
      <c r="C30" s="22"/>
      <c r="D30" s="22"/>
      <c r="E30" s="22"/>
      <c r="F30" s="22"/>
      <c r="G30" s="22"/>
      <c r="H30" s="22"/>
      <c r="I30" s="22"/>
      <c r="J30" s="22"/>
    </row>
    <row r="31" spans="2:16" ht="18.5" x14ac:dyDescent="0.45">
      <c r="B31" s="20" t="s">
        <v>2</v>
      </c>
      <c r="C31" s="21" t="s">
        <v>6</v>
      </c>
      <c r="D31" s="21"/>
      <c r="E31" s="21"/>
      <c r="F31" s="21"/>
      <c r="G31" s="21" t="s">
        <v>10</v>
      </c>
      <c r="H31" s="21"/>
      <c r="I31" s="21"/>
      <c r="J31" s="21"/>
    </row>
    <row r="32" spans="2:16" ht="15.5" x14ac:dyDescent="0.35">
      <c r="B32" s="20"/>
      <c r="C32" s="12" t="s">
        <v>5</v>
      </c>
      <c r="D32" s="12" t="s">
        <v>7</v>
      </c>
      <c r="E32" s="12" t="s">
        <v>8</v>
      </c>
      <c r="F32" s="12" t="s">
        <v>9</v>
      </c>
      <c r="G32" s="12" t="s">
        <v>5</v>
      </c>
      <c r="H32" s="12" t="s">
        <v>7</v>
      </c>
      <c r="I32" s="12" t="s">
        <v>8</v>
      </c>
      <c r="J32" s="12" t="s">
        <v>9</v>
      </c>
    </row>
    <row r="33" spans="1:19" x14ac:dyDescent="0.35">
      <c r="B33" s="5">
        <v>0</v>
      </c>
      <c r="C33" s="6">
        <v>0</v>
      </c>
      <c r="D33" s="6">
        <v>0</v>
      </c>
      <c r="E33" s="6">
        <v>0</v>
      </c>
      <c r="F33" s="6">
        <v>0</v>
      </c>
      <c r="G33" s="6"/>
      <c r="H33" s="6"/>
      <c r="I33" s="6"/>
      <c r="J33" s="6"/>
    </row>
    <row r="34" spans="1:19" x14ac:dyDescent="0.35">
      <c r="B34" s="5">
        <v>1</v>
      </c>
      <c r="C34" s="6">
        <f xml:space="preserve"> (6+D33-2*E33)/10</f>
        <v>0.6</v>
      </c>
      <c r="D34" s="6">
        <f xml:space="preserve"> (25 + C34 + E33- 3*F33)/11</f>
        <v>2.3272727272727276</v>
      </c>
      <c r="E34" s="6">
        <f xml:space="preserve"> (-11 - 2*C34 + D34 + F33)/10</f>
        <v>-0.98727272727272708</v>
      </c>
      <c r="F34" s="6">
        <f xml:space="preserve"> (15- 3*D34 + E34)/8</f>
        <v>0.87886363636363629</v>
      </c>
      <c r="G34" s="1">
        <f xml:space="preserve"> ABS(($C$34 - $C$33)/$C$34)</f>
        <v>1</v>
      </c>
      <c r="H34" s="1">
        <f t="shared" ref="H34:I34" si="9" xml:space="preserve"> ABS((D34 - D33)/D34)</f>
        <v>1</v>
      </c>
      <c r="I34" s="1">
        <f t="shared" si="9"/>
        <v>1</v>
      </c>
      <c r="J34" s="1">
        <f xml:space="preserve"> ABS((F34 - F33)/F34)</f>
        <v>1</v>
      </c>
    </row>
    <row r="35" spans="1:19" x14ac:dyDescent="0.35">
      <c r="B35" s="5">
        <v>2</v>
      </c>
      <c r="C35" s="6">
        <f t="shared" ref="C35:C37" si="10" xml:space="preserve"> (6+D34-2*E34)/10</f>
        <v>1.0301818181818183</v>
      </c>
      <c r="D35" s="6">
        <f t="shared" ref="D35:D37" si="11" xml:space="preserve"> (25 + C35 + E34- 3*F34)/11</f>
        <v>2.0369380165289255</v>
      </c>
      <c r="E35" s="6">
        <f t="shared" ref="E35:E37" si="12" xml:space="preserve"> (-11 - 2*C35 + D35 + F34)/10</f>
        <v>-1.0144561983471074</v>
      </c>
      <c r="F35" s="6">
        <f t="shared" ref="F35:F37" si="13" xml:space="preserve"> (15- 3*D35 + E35)/8</f>
        <v>0.98434121900826443</v>
      </c>
      <c r="G35" s="1">
        <f t="shared" ref="G35:G37" si="14" xml:space="preserve"> ABS(($C$34 - $C$33)/$C$34)</f>
        <v>1</v>
      </c>
      <c r="H35" s="1">
        <f t="shared" ref="H35:H39" si="15" xml:space="preserve"> ABS((D35 - D34)/D35)</f>
        <v>0.14253487754062899</v>
      </c>
      <c r="I35" s="1">
        <f t="shared" ref="I35:I39" si="16" xml:space="preserve"> ABS((E35 - E34)/E35)</f>
        <v>2.6796101318786781E-2</v>
      </c>
      <c r="J35" s="1">
        <f t="shared" ref="J35:J37" si="17" xml:space="preserve"> ABS((F35 - F34)/F35)</f>
        <v>0.1071555072649483</v>
      </c>
    </row>
    <row r="36" spans="1:19" x14ac:dyDescent="0.35">
      <c r="B36" s="5">
        <v>3</v>
      </c>
      <c r="C36" s="6">
        <f t="shared" si="10"/>
        <v>1.0065850413223141</v>
      </c>
      <c r="D36" s="6">
        <f t="shared" si="11"/>
        <v>2.003555016904583</v>
      </c>
      <c r="E36" s="6">
        <f t="shared" si="12"/>
        <v>-1.0025273846731779</v>
      </c>
      <c r="F36" s="6">
        <f t="shared" si="13"/>
        <v>0.99835094557663417</v>
      </c>
      <c r="G36" s="1">
        <f t="shared" si="14"/>
        <v>1</v>
      </c>
      <c r="H36" s="1">
        <f t="shared" si="15"/>
        <v>1.6661883173998342E-2</v>
      </c>
      <c r="I36" s="1">
        <f t="shared" si="16"/>
        <v>1.1898740978350707E-2</v>
      </c>
      <c r="J36" s="1">
        <f t="shared" si="17"/>
        <v>1.4032867530643655E-2</v>
      </c>
    </row>
    <row r="37" spans="1:19" x14ac:dyDescent="0.35">
      <c r="B37" s="5">
        <v>4</v>
      </c>
      <c r="C37" s="6">
        <f t="shared" si="10"/>
        <v>1.0008609786250939</v>
      </c>
      <c r="D37" s="6">
        <f t="shared" si="11"/>
        <v>2.000298250656547</v>
      </c>
      <c r="E37" s="6">
        <f t="shared" si="12"/>
        <v>-1.0003072761017007</v>
      </c>
      <c r="F37" s="6">
        <f t="shared" si="13"/>
        <v>0.99984974649108227</v>
      </c>
      <c r="G37" s="1">
        <f t="shared" si="14"/>
        <v>1</v>
      </c>
      <c r="H37" s="1">
        <f t="shared" si="15"/>
        <v>1.6281403270572814E-3</v>
      </c>
      <c r="I37" s="1">
        <f t="shared" si="16"/>
        <v>2.2194265947252149E-3</v>
      </c>
      <c r="J37" s="1">
        <f t="shared" si="17"/>
        <v>1.4990261483868498E-3</v>
      </c>
    </row>
    <row r="38" spans="1:19" x14ac:dyDescent="0.35">
      <c r="B38" s="13">
        <v>5</v>
      </c>
      <c r="C38" s="15">
        <f xml:space="preserve"> (6+D37-2*E37)/10</f>
        <v>1.0000912802859949</v>
      </c>
      <c r="D38" s="15">
        <f xml:space="preserve"> (25 + C38 + E37- 3*F37)/11</f>
        <v>2.000021342246459</v>
      </c>
      <c r="E38" s="15">
        <f xml:space="preserve"> (-11 - 2*C38 + D38 + F37)/10</f>
        <v>-1.0000311471834449</v>
      </c>
      <c r="F38" s="15">
        <f xml:space="preserve"> (15- 3*D38 + E38)/8</f>
        <v>0.99998810325964727</v>
      </c>
      <c r="G38" s="16">
        <f xml:space="preserve"> ABS(($C$34 - $C$33)/$C$34)</f>
        <v>1</v>
      </c>
      <c r="H38" s="16">
        <f t="shared" si="15"/>
        <v>1.3845272759787421E-4</v>
      </c>
      <c r="I38" s="16">
        <f t="shared" si="16"/>
        <v>2.7612031788559727E-4</v>
      </c>
      <c r="J38" s="16">
        <f xml:space="preserve"> ABS((F38 - F37)/F38)</f>
        <v>1.3835841457912943E-4</v>
      </c>
    </row>
    <row r="39" spans="1:19" x14ac:dyDescent="0.35">
      <c r="B39" s="13">
        <v>6</v>
      </c>
      <c r="C39" s="15">
        <f xml:space="preserve"> (6+D38-2*E38)/10</f>
        <v>1.0000083636613348</v>
      </c>
      <c r="D39" s="15">
        <f xml:space="preserve"> (25 + C39 + E38- 3*F38)/11</f>
        <v>2.0000011733362677</v>
      </c>
      <c r="E39" s="15">
        <f xml:space="preserve"> (-11 - 2*C39 + D39 + F38)/10</f>
        <v>-1.0000027450726754</v>
      </c>
      <c r="F39" s="15">
        <f xml:space="preserve"> (15- 3*D39 + E39)/8</f>
        <v>0.99999921686481508</v>
      </c>
      <c r="G39" s="16">
        <f xml:space="preserve"> ABS(($C$34 - $C$33)/$C$34)</f>
        <v>1</v>
      </c>
      <c r="H39" s="16">
        <f t="shared" si="15"/>
        <v>1.0084449179424167E-5</v>
      </c>
      <c r="I39" s="16">
        <f t="shared" si="16"/>
        <v>2.8402032803843446E-5</v>
      </c>
      <c r="J39" s="16">
        <f xml:space="preserve"> ABS((F39 - F38)/F39)</f>
        <v>1.1113613871273845E-5</v>
      </c>
    </row>
    <row r="45" spans="1:19" x14ac:dyDescent="0.3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</row>
    <row r="47" spans="1:19" x14ac:dyDescent="0.35">
      <c r="B47" s="18" t="s">
        <v>14</v>
      </c>
      <c r="C47" s="19"/>
      <c r="D47" s="19"/>
      <c r="F47" t="s">
        <v>15</v>
      </c>
      <c r="G47">
        <v>1.25</v>
      </c>
    </row>
    <row r="48" spans="1:19" ht="15" customHeight="1" x14ac:dyDescent="0.35">
      <c r="B48" s="19"/>
      <c r="C48" s="19"/>
      <c r="D48" s="19"/>
    </row>
    <row r="49" spans="2:10" ht="15.75" customHeight="1" x14ac:dyDescent="0.35">
      <c r="B49" s="19"/>
      <c r="C49" s="19"/>
      <c r="D49" s="19"/>
    </row>
    <row r="50" spans="2:10" x14ac:dyDescent="0.35">
      <c r="B50" s="19"/>
      <c r="C50" s="19"/>
      <c r="D50" s="19"/>
    </row>
    <row r="52" spans="2:10" ht="26" x14ac:dyDescent="0.35">
      <c r="B52" s="22" t="s">
        <v>13</v>
      </c>
      <c r="C52" s="22"/>
      <c r="D52" s="22"/>
      <c r="E52" s="22"/>
      <c r="F52" s="22"/>
      <c r="G52" s="22"/>
      <c r="H52" s="22"/>
      <c r="I52" s="17"/>
      <c r="J52" s="17"/>
    </row>
    <row r="53" spans="2:10" ht="18.5" x14ac:dyDescent="0.45">
      <c r="B53" s="20" t="s">
        <v>2</v>
      </c>
      <c r="C53" s="21" t="s">
        <v>6</v>
      </c>
      <c r="D53" s="21"/>
      <c r="E53" s="21"/>
      <c r="F53" s="21" t="s">
        <v>10</v>
      </c>
      <c r="G53" s="21"/>
      <c r="H53" s="21"/>
      <c r="I53" s="2"/>
      <c r="J53" s="2"/>
    </row>
    <row r="54" spans="2:10" ht="15.75" customHeight="1" x14ac:dyDescent="0.35">
      <c r="B54" s="20"/>
      <c r="C54" s="12" t="s">
        <v>5</v>
      </c>
      <c r="D54" s="12" t="s">
        <v>7</v>
      </c>
      <c r="E54" s="12" t="s">
        <v>8</v>
      </c>
      <c r="F54" s="12" t="s">
        <v>5</v>
      </c>
      <c r="G54" s="12" t="s">
        <v>7</v>
      </c>
      <c r="H54" s="12" t="s">
        <v>8</v>
      </c>
      <c r="I54" s="3"/>
      <c r="J54" s="3"/>
    </row>
    <row r="55" spans="2:10" x14ac:dyDescent="0.35">
      <c r="B55" s="5">
        <v>0</v>
      </c>
      <c r="C55" s="6">
        <v>0</v>
      </c>
      <c r="D55" s="6">
        <v>0</v>
      </c>
      <c r="E55" s="6">
        <v>0</v>
      </c>
      <c r="F55" s="6"/>
      <c r="G55" s="6"/>
      <c r="H55" s="6"/>
    </row>
    <row r="56" spans="2:10" x14ac:dyDescent="0.35">
      <c r="B56" s="5">
        <v>1</v>
      </c>
      <c r="C56" s="6">
        <f xml:space="preserve"> ((1-$G$47)*C55 + $G$47/4 * (24 - 3*D55))</f>
        <v>7.5</v>
      </c>
      <c r="D56" s="6">
        <f xml:space="preserve"> ((1 - $G$47)*D55 + $G$47/4 * (30 - 3*C56 + E55))</f>
        <v>2.34375</v>
      </c>
      <c r="E56" s="6">
        <f xml:space="preserve"> ((1 - $G$47)*E55 + $G$47/4 * (-24 + D56))</f>
        <v>-6.767578125</v>
      </c>
      <c r="F56" s="1">
        <f>ABS((C56-C55)/C56)</f>
        <v>1</v>
      </c>
      <c r="G56" s="1">
        <f>ABS((D56-D55)/D56)</f>
        <v>1</v>
      </c>
      <c r="H56" s="1">
        <f>ABS((E56-E55)/E56)</f>
        <v>1</v>
      </c>
    </row>
    <row r="57" spans="2:10" x14ac:dyDescent="0.35">
      <c r="B57" s="5">
        <v>2</v>
      </c>
      <c r="C57" s="6">
        <f t="shared" ref="C57:C64" si="18" xml:space="preserve"> ((1-$G$47)*C56 + $G$47/4 * (24 - 3*D56))</f>
        <v>3.427734375</v>
      </c>
      <c r="D57" s="6">
        <f t="shared" ref="D57:D64" si="19" xml:space="preserve"> ((1 - $G$47)*D56 + $G$47/4 * (30 - 3*C57 + E56))</f>
        <v>3.460693359375</v>
      </c>
      <c r="E57" s="6">
        <f t="shared" ref="E57:E64" si="20" xml:space="preserve"> ((1 - $G$47)*E56 + $G$47/4 * (-24 + D57))</f>
        <v>-4.7266387939453125</v>
      </c>
      <c r="F57" s="1">
        <f t="shared" ref="F57:F64" si="21">ABS((C57-C56)/C57)</f>
        <v>1.188034188034188</v>
      </c>
      <c r="G57" s="1">
        <f t="shared" ref="G57:G64" si="22">ABS((D57-D56)/D57)</f>
        <v>0.32275132275132273</v>
      </c>
      <c r="H57" s="1">
        <f t="shared" ref="H57:H64" si="23">ABS((E57-E56)/E57)</f>
        <v>0.43179507045663651</v>
      </c>
    </row>
    <row r="58" spans="2:10" x14ac:dyDescent="0.35">
      <c r="B58" s="5">
        <v>3</v>
      </c>
      <c r="C58" s="6">
        <f t="shared" si="18"/>
        <v>3.3986663818359375</v>
      </c>
      <c r="D58" s="6">
        <f t="shared" si="19"/>
        <v>3.8465023040771484</v>
      </c>
      <c r="E58" s="6">
        <f t="shared" si="20"/>
        <v>-5.116308331489563</v>
      </c>
      <c r="F58" s="1">
        <f t="shared" si="21"/>
        <v>8.5527644959256521E-3</v>
      </c>
      <c r="G58" s="1">
        <f t="shared" si="22"/>
        <v>0.10030123842463461</v>
      </c>
      <c r="H58" s="1">
        <f t="shared" si="23"/>
        <v>7.6162246740669362E-2</v>
      </c>
    </row>
    <row r="59" spans="2:10" x14ac:dyDescent="0.35">
      <c r="B59" s="5">
        <v>4</v>
      </c>
      <c r="C59" s="6">
        <f t="shared" si="18"/>
        <v>3.044237494468689</v>
      </c>
      <c r="D59" s="6">
        <f t="shared" si="19"/>
        <v>3.9605554193258286</v>
      </c>
      <c r="E59" s="6">
        <f t="shared" si="20"/>
        <v>-4.9832493485882878</v>
      </c>
      <c r="F59" s="1">
        <f t="shared" si="21"/>
        <v>0.11642616189152057</v>
      </c>
      <c r="G59" s="1">
        <f t="shared" si="22"/>
        <v>2.879725270151488E-2</v>
      </c>
      <c r="H59" s="1">
        <f t="shared" si="23"/>
        <v>2.6701249243923472E-2</v>
      </c>
    </row>
    <row r="60" spans="2:10" x14ac:dyDescent="0.35">
      <c r="B60" s="5">
        <v>5</v>
      </c>
      <c r="C60" s="6">
        <f t="shared" si="18"/>
        <v>3.0259199207648635</v>
      </c>
      <c r="D60" s="6">
        <f t="shared" si="19"/>
        <v>3.9907957980176434</v>
      </c>
      <c r="E60" s="6">
        <f t="shared" si="20"/>
        <v>-5.0070639759724145</v>
      </c>
      <c r="F60" s="1">
        <f t="shared" si="21"/>
        <v>6.0535553429964303E-3</v>
      </c>
      <c r="G60" s="1">
        <f t="shared" si="22"/>
        <v>7.5775309543114708E-3</v>
      </c>
      <c r="H60" s="1">
        <f t="shared" si="23"/>
        <v>4.7562059319407133E-3</v>
      </c>
    </row>
    <row r="61" spans="2:10" x14ac:dyDescent="0.35">
      <c r="B61" s="5">
        <v>6</v>
      </c>
      <c r="C61" s="6">
        <f t="shared" si="18"/>
        <v>3.0021489591672434</v>
      </c>
      <c r="D61" s="6">
        <f t="shared" si="19"/>
        <v>3.9980789087849189</v>
      </c>
      <c r="E61" s="6">
        <f t="shared" si="20"/>
        <v>-4.9988343470116092</v>
      </c>
      <c r="F61" s="1">
        <f t="shared" si="21"/>
        <v>7.9179820591626458E-3</v>
      </c>
      <c r="G61" s="1">
        <f t="shared" si="22"/>
        <v>1.8216525820119339E-3</v>
      </c>
      <c r="H61" s="1">
        <f t="shared" si="23"/>
        <v>1.6463095973014337E-3</v>
      </c>
    </row>
    <row r="62" spans="2:10" x14ac:dyDescent="0.35">
      <c r="B62" s="5">
        <v>7</v>
      </c>
      <c r="C62" s="6">
        <f t="shared" si="18"/>
        <v>3.0012637832223277</v>
      </c>
      <c r="D62" s="6">
        <f t="shared" si="19"/>
        <v>3.9996597425917102</v>
      </c>
      <c r="E62" s="6">
        <f t="shared" si="20"/>
        <v>-5.0003977436871878</v>
      </c>
      <c r="F62" s="1">
        <f t="shared" si="21"/>
        <v>2.9493440392146979E-4</v>
      </c>
      <c r="G62" s="1">
        <f t="shared" si="22"/>
        <v>3.9524207270865276E-4</v>
      </c>
      <c r="H62" s="1">
        <f t="shared" si="23"/>
        <v>3.1265446384786424E-4</v>
      </c>
    </row>
    <row r="63" spans="2:10" x14ac:dyDescent="0.35">
      <c r="B63" s="13">
        <v>8</v>
      </c>
      <c r="C63" s="15">
        <f t="shared" si="18"/>
        <v>3.0000030455146898</v>
      </c>
      <c r="D63" s="15">
        <f t="shared" si="19"/>
        <v>3.999957914279805</v>
      </c>
      <c r="E63" s="15">
        <f t="shared" si="20"/>
        <v>-4.9999137158657643</v>
      </c>
      <c r="F63" s="16">
        <f t="shared" si="21"/>
        <v>4.202454759247114E-4</v>
      </c>
      <c r="G63" s="16">
        <f t="shared" si="22"/>
        <v>7.4543706330082118E-5</v>
      </c>
      <c r="H63" s="16">
        <f t="shared" si="23"/>
        <v>9.6807234870397365E-5</v>
      </c>
    </row>
    <row r="64" spans="2:10" x14ac:dyDescent="0.35">
      <c r="B64" s="13">
        <v>9</v>
      </c>
      <c r="C64" s="15">
        <f t="shared" si="18"/>
        <v>3.0000386939840102</v>
      </c>
      <c r="D64" s="15">
        <f t="shared" si="19"/>
        <v>4.0000012096119884</v>
      </c>
      <c r="E64" s="15">
        <f t="shared" si="20"/>
        <v>-5.0000211930298128</v>
      </c>
      <c r="F64" s="16">
        <f t="shared" si="21"/>
        <v>1.188266984421122E-5</v>
      </c>
      <c r="G64" s="16">
        <f t="shared" si="22"/>
        <v>1.08238297726891E-5</v>
      </c>
      <c r="H64" s="16">
        <f t="shared" si="23"/>
        <v>2.1495341699431503E-5</v>
      </c>
    </row>
    <row r="67" ht="15.75" customHeight="1" x14ac:dyDescent="0.35"/>
  </sheetData>
  <mergeCells count="17">
    <mergeCell ref="A4:J5"/>
    <mergeCell ref="E6:E10"/>
    <mergeCell ref="C14:F14"/>
    <mergeCell ref="G14:J14"/>
    <mergeCell ref="B13:J13"/>
    <mergeCell ref="B14:B15"/>
    <mergeCell ref="B6:D10"/>
    <mergeCell ref="B30:J30"/>
    <mergeCell ref="B31:B32"/>
    <mergeCell ref="C31:F31"/>
    <mergeCell ref="G31:J31"/>
    <mergeCell ref="F6:H10"/>
    <mergeCell ref="B47:D50"/>
    <mergeCell ref="B53:B54"/>
    <mergeCell ref="C53:E53"/>
    <mergeCell ref="F53:H53"/>
    <mergeCell ref="B52:H5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Mahasiswa</dc:creator>
  <cp:lastModifiedBy>marr.rrrrr05@gmail.com</cp:lastModifiedBy>
  <dcterms:created xsi:type="dcterms:W3CDTF">2026-10-02T06:42:45Z</dcterms:created>
  <dcterms:modified xsi:type="dcterms:W3CDTF">2026-10-14T13:59:56Z</dcterms:modified>
</cp:coreProperties>
</file>