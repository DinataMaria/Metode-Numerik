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ia\Github\Metode-Numerik\"/>
    </mc:Choice>
  </mc:AlternateContent>
  <xr:revisionPtr revIDLastSave="0" documentId="8_{495FD530-9E39-436C-8E57-41A38AF1F3FD}" xr6:coauthVersionLast="47" xr6:coauthVersionMax="47" xr10:uidLastSave="{00000000-0000-0000-0000-000000000000}"/>
  <bookViews>
    <workbookView xWindow="-110" yWindow="-110" windowWidth="19420" windowHeight="10300" xr2:uid="{ADD94FDF-6AE7-4409-84A9-CE5DBA48D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4" i="1" l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L12" i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Y8" i="1"/>
  <c r="Y7" i="1"/>
  <c r="Y6" i="1"/>
  <c r="M7" i="1"/>
  <c r="M6" i="1"/>
  <c r="L7" i="1"/>
  <c r="L6" i="1"/>
  <c r="K7" i="1"/>
  <c r="K6" i="1"/>
  <c r="D22" i="1"/>
  <c r="C23" i="1"/>
  <c r="D12" i="1"/>
  <c r="D10" i="1"/>
  <c r="C13" i="1"/>
  <c r="C11" i="1"/>
  <c r="D11" i="1" s="1"/>
  <c r="E6" i="1"/>
  <c r="N6" i="1" s="1"/>
  <c r="W44" i="1" l="1"/>
  <c r="Z7" i="1"/>
  <c r="Z6" i="1"/>
  <c r="O6" i="1"/>
  <c r="D23" i="1"/>
  <c r="C24" i="1"/>
  <c r="C14" i="1"/>
  <c r="D14" i="1" s="1"/>
  <c r="D13" i="1"/>
  <c r="N7" i="1"/>
  <c r="C15" i="1"/>
  <c r="W45" i="1" l="1"/>
  <c r="X44" i="1"/>
  <c r="X19" i="1"/>
  <c r="X22" i="1"/>
  <c r="X23" i="1"/>
  <c r="X26" i="1"/>
  <c r="X14" i="1"/>
  <c r="X27" i="1"/>
  <c r="X13" i="1"/>
  <c r="X16" i="1"/>
  <c r="X41" i="1"/>
  <c r="X29" i="1"/>
  <c r="X30" i="1"/>
  <c r="X32" i="1"/>
  <c r="X33" i="1"/>
  <c r="X35" i="1"/>
  <c r="X36" i="1"/>
  <c r="X18" i="1"/>
  <c r="X21" i="1"/>
  <c r="AA6" i="1"/>
  <c r="M53" i="1"/>
  <c r="M57" i="1"/>
  <c r="M54" i="1"/>
  <c r="M55" i="1"/>
  <c r="M56" i="1"/>
  <c r="M59" i="1"/>
  <c r="M60" i="1"/>
  <c r="M61" i="1"/>
  <c r="M42" i="1"/>
  <c r="M43" i="1"/>
  <c r="M44" i="1"/>
  <c r="M45" i="1"/>
  <c r="M46" i="1"/>
  <c r="M29" i="1"/>
  <c r="M33" i="1"/>
  <c r="M36" i="1"/>
  <c r="M38" i="1"/>
  <c r="M20" i="1"/>
  <c r="M22" i="1"/>
  <c r="M24" i="1"/>
  <c r="M26" i="1"/>
  <c r="M28" i="1"/>
  <c r="M13" i="1"/>
  <c r="M15" i="1"/>
  <c r="M17" i="1"/>
  <c r="M11" i="1"/>
  <c r="M47" i="1"/>
  <c r="M48" i="1"/>
  <c r="M49" i="1"/>
  <c r="M50" i="1"/>
  <c r="M51" i="1"/>
  <c r="M41" i="1"/>
  <c r="M40" i="1"/>
  <c r="M30" i="1"/>
  <c r="M31" i="1"/>
  <c r="M32" i="1"/>
  <c r="M34" i="1"/>
  <c r="M52" i="1"/>
  <c r="M37" i="1"/>
  <c r="M39" i="1"/>
  <c r="M19" i="1"/>
  <c r="M23" i="1"/>
  <c r="M35" i="1"/>
  <c r="M27" i="1"/>
  <c r="M12" i="1"/>
  <c r="M14" i="1"/>
  <c r="M16" i="1"/>
  <c r="M18" i="1"/>
  <c r="M25" i="1"/>
  <c r="M58" i="1"/>
  <c r="M21" i="1"/>
  <c r="D24" i="1"/>
  <c r="C25" i="1"/>
  <c r="D15" i="1"/>
  <c r="C16" i="1"/>
  <c r="X45" i="1" l="1"/>
  <c r="W46" i="1"/>
  <c r="X39" i="1"/>
  <c r="X24" i="1"/>
  <c r="X25" i="1"/>
  <c r="X15" i="1"/>
  <c r="X20" i="1"/>
  <c r="X37" i="1"/>
  <c r="X42" i="1"/>
  <c r="X31" i="1"/>
  <c r="X17" i="1"/>
  <c r="X43" i="1"/>
  <c r="X38" i="1"/>
  <c r="X40" i="1"/>
  <c r="X28" i="1"/>
  <c r="X34" i="1"/>
  <c r="C26" i="1"/>
  <c r="D25" i="1"/>
  <c r="D16" i="1"/>
  <c r="C17" i="1"/>
  <c r="X46" i="1" l="1"/>
  <c r="W47" i="1"/>
  <c r="C27" i="1"/>
  <c r="D26" i="1"/>
  <c r="C18" i="1"/>
  <c r="D17" i="1"/>
  <c r="X47" i="1" l="1"/>
  <c r="W48" i="1"/>
  <c r="C28" i="1"/>
  <c r="D27" i="1"/>
  <c r="C19" i="1"/>
  <c r="D18" i="1"/>
  <c r="X48" i="1" l="1"/>
  <c r="W49" i="1"/>
  <c r="D28" i="1"/>
  <c r="C29" i="1"/>
  <c r="C20" i="1"/>
  <c r="D19" i="1"/>
  <c r="X49" i="1" l="1"/>
  <c r="W50" i="1"/>
  <c r="D29" i="1"/>
  <c r="C30" i="1"/>
  <c r="C21" i="1"/>
  <c r="D21" i="1" s="1"/>
  <c r="D20" i="1"/>
  <c r="X50" i="1" l="1"/>
  <c r="W51" i="1"/>
  <c r="D30" i="1"/>
  <c r="C31" i="1"/>
  <c r="X51" i="1" l="1"/>
  <c r="W52" i="1"/>
  <c r="D31" i="1"/>
  <c r="C32" i="1"/>
  <c r="X52" i="1" l="1"/>
  <c r="W53" i="1"/>
  <c r="C33" i="1"/>
  <c r="D32" i="1"/>
  <c r="X53" i="1" l="1"/>
  <c r="W54" i="1"/>
  <c r="C34" i="1"/>
  <c r="D33" i="1"/>
  <c r="X54" i="1" l="1"/>
  <c r="W55" i="1"/>
  <c r="C35" i="1"/>
  <c r="D34" i="1"/>
  <c r="X55" i="1" l="1"/>
  <c r="W56" i="1"/>
  <c r="D35" i="1"/>
  <c r="C36" i="1"/>
  <c r="X56" i="1" l="1"/>
  <c r="W57" i="1"/>
  <c r="C37" i="1"/>
  <c r="D36" i="1"/>
  <c r="X57" i="1" l="1"/>
  <c r="W58" i="1"/>
  <c r="C38" i="1"/>
  <c r="D37" i="1"/>
  <c r="X58" i="1" l="1"/>
  <c r="W59" i="1"/>
  <c r="C39" i="1"/>
  <c r="D38" i="1"/>
  <c r="X59" i="1" l="1"/>
  <c r="W60" i="1"/>
  <c r="D39" i="1"/>
  <c r="C40" i="1"/>
  <c r="D40" i="1" s="1"/>
  <c r="W61" i="1" l="1"/>
  <c r="X60" i="1"/>
  <c r="X61" i="1" l="1"/>
  <c r="W62" i="1"/>
  <c r="W63" i="1" l="1"/>
  <c r="X63" i="1" s="1"/>
  <c r="X62" i="1"/>
</calcChain>
</file>

<file path=xl/sharedStrings.xml><?xml version="1.0" encoding="utf-8"?>
<sst xmlns="http://schemas.openxmlformats.org/spreadsheetml/2006/main" count="25" uniqueCount="12">
  <si>
    <t>Interpolasi</t>
  </si>
  <si>
    <t>Linier</t>
  </si>
  <si>
    <t>y</t>
  </si>
  <si>
    <t>x</t>
  </si>
  <si>
    <t>n</t>
  </si>
  <si>
    <t>x_i</t>
  </si>
  <si>
    <t>y_i</t>
  </si>
  <si>
    <t>Kuadrat</t>
  </si>
  <si>
    <t>Newton</t>
  </si>
  <si>
    <t>I</t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</si>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</sst>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Linier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Sheet1!$D$9</c:f>
              <c:strCache>
                <c:ptCount val="1"/>
                <c:pt idx="0">
                  <c:v>y_i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Sheet1!$C$10:$C$40</c:f>
              <c:numCache>
                <c:formatCode>General</c:formatCode>
                <c:ptCount val="3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1.4000000000000001</c:v>
                </c:pt>
                <c:pt idx="5">
                  <c:v>1.5000000000000002</c:v>
                </c:pt>
                <c:pt idx="6">
                  <c:v>1.6000000000000003</c:v>
                </c:pt>
                <c:pt idx="7">
                  <c:v>1.7000000000000004</c:v>
                </c:pt>
                <c:pt idx="8">
                  <c:v>1.8000000000000005</c:v>
                </c:pt>
                <c:pt idx="9">
                  <c:v>1.9000000000000006</c:v>
                </c:pt>
                <c:pt idx="10">
                  <c:v>2.0000000000000004</c:v>
                </c:pt>
                <c:pt idx="11">
                  <c:v>2.1000000000000005</c:v>
                </c:pt>
                <c:pt idx="12">
                  <c:v>2.2000000000000002</c:v>
                </c:pt>
                <c:pt idx="13">
                  <c:v>2.3000000000000003</c:v>
                </c:pt>
                <c:pt idx="14">
                  <c:v>2.4000000000000004</c:v>
                </c:pt>
                <c:pt idx="15">
                  <c:v>2.5000000000000004</c:v>
                </c:pt>
                <c:pt idx="16">
                  <c:v>2.6000000000000005</c:v>
                </c:pt>
                <c:pt idx="17">
                  <c:v>2.7000000000000006</c:v>
                </c:pt>
                <c:pt idx="18">
                  <c:v>2.8000000000000007</c:v>
                </c:pt>
                <c:pt idx="19">
                  <c:v>2.9000000000000008</c:v>
                </c:pt>
                <c:pt idx="20">
                  <c:v>3.0000000000000009</c:v>
                </c:pt>
                <c:pt idx="21">
                  <c:v>3.100000000000001</c:v>
                </c:pt>
                <c:pt idx="22">
                  <c:v>3.2000000000000011</c:v>
                </c:pt>
                <c:pt idx="23">
                  <c:v>3.3000000000000012</c:v>
                </c:pt>
                <c:pt idx="24">
                  <c:v>3.4000000000000012</c:v>
                </c:pt>
                <c:pt idx="25">
                  <c:v>3.5000000000000013</c:v>
                </c:pt>
                <c:pt idx="26">
                  <c:v>3.6000000000000014</c:v>
                </c:pt>
                <c:pt idx="27">
                  <c:v>3.7000000000000015</c:v>
                </c:pt>
                <c:pt idx="28">
                  <c:v>3.8000000000000016</c:v>
                </c:pt>
                <c:pt idx="29">
                  <c:v>3.9000000000000017</c:v>
                </c:pt>
                <c:pt idx="30">
                  <c:v>4.0000000000000018</c:v>
                </c:pt>
              </c:numCache>
            </c:numRef>
          </c:xVal>
          <c:yVal>
            <c:numRef>
              <c:f>Sheet1!$D$10:$D$40</c:f>
              <c:numCache>
                <c:formatCode>General</c:formatCode>
                <c:ptCount val="31"/>
                <c:pt idx="0">
                  <c:v>0</c:v>
                </c:pt>
                <c:pt idx="1">
                  <c:v>4.620000000000004E-2</c:v>
                </c:pt>
                <c:pt idx="2">
                  <c:v>9.2399999999999968E-2</c:v>
                </c:pt>
                <c:pt idx="3">
                  <c:v>0.1386</c:v>
                </c:pt>
                <c:pt idx="4">
                  <c:v>0.18480000000000005</c:v>
                </c:pt>
                <c:pt idx="5">
                  <c:v>0.23100000000000009</c:v>
                </c:pt>
                <c:pt idx="6">
                  <c:v>0.27720000000000011</c:v>
                </c:pt>
                <c:pt idx="7">
                  <c:v>0.32340000000000019</c:v>
                </c:pt>
                <c:pt idx="8">
                  <c:v>0.36960000000000021</c:v>
                </c:pt>
                <c:pt idx="9">
                  <c:v>0.41580000000000022</c:v>
                </c:pt>
                <c:pt idx="10">
                  <c:v>0.46200000000000019</c:v>
                </c:pt>
                <c:pt idx="11">
                  <c:v>0.50820000000000021</c:v>
                </c:pt>
                <c:pt idx="12">
                  <c:v>0.5544</c:v>
                </c:pt>
                <c:pt idx="13">
                  <c:v>0.60060000000000013</c:v>
                </c:pt>
                <c:pt idx="14">
                  <c:v>0.64680000000000015</c:v>
                </c:pt>
                <c:pt idx="15">
                  <c:v>0.69300000000000017</c:v>
                </c:pt>
                <c:pt idx="16">
                  <c:v>0.73920000000000019</c:v>
                </c:pt>
                <c:pt idx="17">
                  <c:v>0.78540000000000021</c:v>
                </c:pt>
                <c:pt idx="18">
                  <c:v>0.83160000000000023</c:v>
                </c:pt>
                <c:pt idx="19">
                  <c:v>0.87780000000000036</c:v>
                </c:pt>
                <c:pt idx="20">
                  <c:v>0.92400000000000038</c:v>
                </c:pt>
                <c:pt idx="21">
                  <c:v>0.9702000000000004</c:v>
                </c:pt>
                <c:pt idx="22">
                  <c:v>1.0164000000000004</c:v>
                </c:pt>
                <c:pt idx="23">
                  <c:v>1.0626000000000004</c:v>
                </c:pt>
                <c:pt idx="24">
                  <c:v>1.1088000000000005</c:v>
                </c:pt>
                <c:pt idx="25">
                  <c:v>1.1550000000000005</c:v>
                </c:pt>
                <c:pt idx="26">
                  <c:v>1.2012000000000005</c:v>
                </c:pt>
                <c:pt idx="27">
                  <c:v>1.2474000000000005</c:v>
                </c:pt>
                <c:pt idx="28">
                  <c:v>1.2936000000000007</c:v>
                </c:pt>
                <c:pt idx="29">
                  <c:v>1.3398000000000008</c:v>
                </c:pt>
                <c:pt idx="30">
                  <c:v>1.3860000000000008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9C-439C-8BE7-ED2DCF60F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584560"/>
        <c:axId val="1418995632"/>
      </c:scatterChart>
      <c:valAx>
        <c:axId val="145858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95632"/>
        <c:crosses val="autoZero"/>
        <c:crossBetween val="midCat"/>
      </c:valAx>
      <c:valAx>
        <c:axId val="14189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58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Kuadrat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Sheet1!$M$10</c:f>
              <c:strCache>
                <c:ptCount val="1"/>
                <c:pt idx="0">
                  <c:v>y_i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Sheet1!$L$11:$L$61</c:f>
              <c:numCache>
                <c:formatCode>General</c:formatCode>
                <c:ptCount val="5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  <c:pt idx="11">
                  <c:v>2.100000000000001</c:v>
                </c:pt>
                <c:pt idx="12">
                  <c:v>2.2000000000000011</c:v>
                </c:pt>
                <c:pt idx="13">
                  <c:v>2.3000000000000012</c:v>
                </c:pt>
                <c:pt idx="14">
                  <c:v>2.4000000000000012</c:v>
                </c:pt>
                <c:pt idx="15">
                  <c:v>2.5000000000000013</c:v>
                </c:pt>
                <c:pt idx="16">
                  <c:v>2.6000000000000014</c:v>
                </c:pt>
                <c:pt idx="17">
                  <c:v>2.7000000000000015</c:v>
                </c:pt>
                <c:pt idx="18">
                  <c:v>2.8000000000000016</c:v>
                </c:pt>
                <c:pt idx="19">
                  <c:v>2.9000000000000017</c:v>
                </c:pt>
                <c:pt idx="20">
                  <c:v>3.0000000000000018</c:v>
                </c:pt>
                <c:pt idx="21">
                  <c:v>3.1000000000000019</c:v>
                </c:pt>
                <c:pt idx="22">
                  <c:v>3.200000000000002</c:v>
                </c:pt>
                <c:pt idx="23">
                  <c:v>3.300000000000002</c:v>
                </c:pt>
                <c:pt idx="24">
                  <c:v>3.4000000000000021</c:v>
                </c:pt>
                <c:pt idx="25">
                  <c:v>3.5000000000000022</c:v>
                </c:pt>
                <c:pt idx="26">
                  <c:v>3.6000000000000023</c:v>
                </c:pt>
                <c:pt idx="27">
                  <c:v>3.7000000000000024</c:v>
                </c:pt>
                <c:pt idx="28">
                  <c:v>3.8000000000000025</c:v>
                </c:pt>
                <c:pt idx="29">
                  <c:v>3.9000000000000026</c:v>
                </c:pt>
                <c:pt idx="30">
                  <c:v>4.0000000000000027</c:v>
                </c:pt>
                <c:pt idx="31">
                  <c:v>4.1000000000000023</c:v>
                </c:pt>
                <c:pt idx="32">
                  <c:v>4.200000000000002</c:v>
                </c:pt>
                <c:pt idx="33">
                  <c:v>4.3000000000000016</c:v>
                </c:pt>
                <c:pt idx="34">
                  <c:v>4.4000000000000012</c:v>
                </c:pt>
                <c:pt idx="35">
                  <c:v>4.5000000000000009</c:v>
                </c:pt>
                <c:pt idx="36">
                  <c:v>4.6000000000000005</c:v>
                </c:pt>
                <c:pt idx="37">
                  <c:v>4.7</c:v>
                </c:pt>
                <c:pt idx="38">
                  <c:v>4.8</c:v>
                </c:pt>
                <c:pt idx="39">
                  <c:v>4.8999999999999995</c:v>
                </c:pt>
                <c:pt idx="40">
                  <c:v>4.9999999999999991</c:v>
                </c:pt>
                <c:pt idx="41">
                  <c:v>5.0999999999999988</c:v>
                </c:pt>
                <c:pt idx="42">
                  <c:v>5.1999999999999984</c:v>
                </c:pt>
                <c:pt idx="43">
                  <c:v>5.299999999999998</c:v>
                </c:pt>
                <c:pt idx="44">
                  <c:v>5.3999999999999977</c:v>
                </c:pt>
                <c:pt idx="45">
                  <c:v>5.4999999999999973</c:v>
                </c:pt>
                <c:pt idx="46">
                  <c:v>5.599999999999997</c:v>
                </c:pt>
                <c:pt idx="47">
                  <c:v>5.6999999999999966</c:v>
                </c:pt>
                <c:pt idx="48">
                  <c:v>5.7999999999999963</c:v>
                </c:pt>
                <c:pt idx="49">
                  <c:v>5.8999999999999959</c:v>
                </c:pt>
                <c:pt idx="50">
                  <c:v>5.9999999999999956</c:v>
                </c:pt>
              </c:numCache>
            </c:numRef>
          </c:xVal>
          <c:yVal>
            <c:numRef>
              <c:f>Sheet1!$M$11:$M$61</c:f>
              <c:numCache>
                <c:formatCode>General</c:formatCode>
                <c:ptCount val="51"/>
                <c:pt idx="0">
                  <c:v>0</c:v>
                </c:pt>
                <c:pt idx="1">
                  <c:v>6.1222000000000047E-2</c:v>
                </c:pt>
                <c:pt idx="2">
                  <c:v>0.12140800000000009</c:v>
                </c:pt>
                <c:pt idx="3">
                  <c:v>0.18055800000000014</c:v>
                </c:pt>
                <c:pt idx="4">
                  <c:v>0.23867200000000016</c:v>
                </c:pt>
                <c:pt idx="5">
                  <c:v>0.29575000000000018</c:v>
                </c:pt>
                <c:pt idx="6">
                  <c:v>0.35179200000000022</c:v>
                </c:pt>
                <c:pt idx="7">
                  <c:v>0.40679800000000027</c:v>
                </c:pt>
                <c:pt idx="8">
                  <c:v>0.46076800000000034</c:v>
                </c:pt>
                <c:pt idx="9">
                  <c:v>0.51370200000000033</c:v>
                </c:pt>
                <c:pt idx="10">
                  <c:v>0.56560000000000032</c:v>
                </c:pt>
                <c:pt idx="11">
                  <c:v>0.6164620000000004</c:v>
                </c:pt>
                <c:pt idx="12">
                  <c:v>0.66628800000000044</c:v>
                </c:pt>
                <c:pt idx="13">
                  <c:v>0.71507800000000044</c:v>
                </c:pt>
                <c:pt idx="14">
                  <c:v>0.7628320000000004</c:v>
                </c:pt>
                <c:pt idx="15">
                  <c:v>0.80955000000000055</c:v>
                </c:pt>
                <c:pt idx="16">
                  <c:v>0.85523200000000055</c:v>
                </c:pt>
                <c:pt idx="17">
                  <c:v>0.89987800000000062</c:v>
                </c:pt>
                <c:pt idx="18">
                  <c:v>0.94348800000000055</c:v>
                </c:pt>
                <c:pt idx="19">
                  <c:v>0.98606200000000055</c:v>
                </c:pt>
                <c:pt idx="20">
                  <c:v>1.0276000000000005</c:v>
                </c:pt>
                <c:pt idx="21">
                  <c:v>1.0681020000000008</c:v>
                </c:pt>
                <c:pt idx="22">
                  <c:v>1.1075680000000008</c:v>
                </c:pt>
                <c:pt idx="23">
                  <c:v>1.1459980000000007</c:v>
                </c:pt>
                <c:pt idx="24">
                  <c:v>1.1833920000000007</c:v>
                </c:pt>
                <c:pt idx="25">
                  <c:v>1.2197500000000006</c:v>
                </c:pt>
                <c:pt idx="26">
                  <c:v>1.2550720000000006</c:v>
                </c:pt>
                <c:pt idx="27">
                  <c:v>1.2893580000000007</c:v>
                </c:pt>
                <c:pt idx="28">
                  <c:v>1.3226080000000007</c:v>
                </c:pt>
                <c:pt idx="29">
                  <c:v>1.3548220000000006</c:v>
                </c:pt>
                <c:pt idx="30">
                  <c:v>1.3860000000000008</c:v>
                </c:pt>
                <c:pt idx="31">
                  <c:v>1.4161420000000007</c:v>
                </c:pt>
                <c:pt idx="32">
                  <c:v>1.4452480000000005</c:v>
                </c:pt>
                <c:pt idx="33">
                  <c:v>1.4733180000000003</c:v>
                </c:pt>
                <c:pt idx="34">
                  <c:v>1.5003520000000001</c:v>
                </c:pt>
                <c:pt idx="35">
                  <c:v>1.5263500000000001</c:v>
                </c:pt>
                <c:pt idx="36">
                  <c:v>1.5513120000000002</c:v>
                </c:pt>
                <c:pt idx="37">
                  <c:v>1.5752380000000001</c:v>
                </c:pt>
                <c:pt idx="38">
                  <c:v>1.598128</c:v>
                </c:pt>
                <c:pt idx="39">
                  <c:v>1.6199819999999998</c:v>
                </c:pt>
                <c:pt idx="40">
                  <c:v>1.6407999999999998</c:v>
                </c:pt>
                <c:pt idx="41">
                  <c:v>1.6605819999999996</c:v>
                </c:pt>
                <c:pt idx="42">
                  <c:v>1.6793279999999995</c:v>
                </c:pt>
                <c:pt idx="43">
                  <c:v>1.6970379999999996</c:v>
                </c:pt>
                <c:pt idx="44">
                  <c:v>1.7137119999999995</c:v>
                </c:pt>
                <c:pt idx="45">
                  <c:v>1.7293499999999993</c:v>
                </c:pt>
                <c:pt idx="46">
                  <c:v>1.7439519999999997</c:v>
                </c:pt>
                <c:pt idx="47">
                  <c:v>1.7575179999999997</c:v>
                </c:pt>
                <c:pt idx="48">
                  <c:v>1.7700479999999996</c:v>
                </c:pt>
                <c:pt idx="49">
                  <c:v>1.7815419999999997</c:v>
                </c:pt>
                <c:pt idx="50">
                  <c:v>1.7919999999999996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17-4E16-8628-98C8122AF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203679"/>
        <c:axId val="1174700655"/>
      </c:scatterChart>
      <c:valAx>
        <c:axId val="132120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00655"/>
        <c:crosses val="autoZero"/>
        <c:crossBetween val="midCat"/>
      </c:valAx>
      <c:valAx>
        <c:axId val="117470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20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Newton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Sheet1!$X$12</c:f>
              <c:strCache>
                <c:ptCount val="1"/>
                <c:pt idx="0">
                  <c:v>y_i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Sheet1!$W$13:$W$63</c:f>
              <c:numCache>
                <c:formatCode>General</c:formatCode>
                <c:ptCount val="5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  <c:pt idx="11">
                  <c:v>2.100000000000001</c:v>
                </c:pt>
                <c:pt idx="12">
                  <c:v>2.2000000000000011</c:v>
                </c:pt>
                <c:pt idx="13">
                  <c:v>2.3000000000000012</c:v>
                </c:pt>
                <c:pt idx="14">
                  <c:v>2.4000000000000012</c:v>
                </c:pt>
                <c:pt idx="15">
                  <c:v>2.5000000000000013</c:v>
                </c:pt>
                <c:pt idx="16">
                  <c:v>2.6000000000000014</c:v>
                </c:pt>
                <c:pt idx="17">
                  <c:v>2.7000000000000015</c:v>
                </c:pt>
                <c:pt idx="18">
                  <c:v>2.8000000000000016</c:v>
                </c:pt>
                <c:pt idx="19">
                  <c:v>2.9000000000000017</c:v>
                </c:pt>
                <c:pt idx="20">
                  <c:v>3.0000000000000018</c:v>
                </c:pt>
                <c:pt idx="21">
                  <c:v>3.1000000000000019</c:v>
                </c:pt>
                <c:pt idx="22">
                  <c:v>3.200000000000002</c:v>
                </c:pt>
                <c:pt idx="23">
                  <c:v>3.300000000000002</c:v>
                </c:pt>
                <c:pt idx="24">
                  <c:v>3.4000000000000021</c:v>
                </c:pt>
                <c:pt idx="25">
                  <c:v>3.5000000000000022</c:v>
                </c:pt>
                <c:pt idx="26">
                  <c:v>3.6000000000000023</c:v>
                </c:pt>
                <c:pt idx="27">
                  <c:v>3.7000000000000024</c:v>
                </c:pt>
                <c:pt idx="28">
                  <c:v>3.8000000000000025</c:v>
                </c:pt>
                <c:pt idx="29">
                  <c:v>3.9000000000000026</c:v>
                </c:pt>
                <c:pt idx="30">
                  <c:v>4.0000000000000027</c:v>
                </c:pt>
                <c:pt idx="31">
                  <c:v>4.1000000000000023</c:v>
                </c:pt>
                <c:pt idx="32">
                  <c:v>4.200000000000002</c:v>
                </c:pt>
                <c:pt idx="33">
                  <c:v>4.3000000000000016</c:v>
                </c:pt>
                <c:pt idx="34">
                  <c:v>4.4000000000000012</c:v>
                </c:pt>
                <c:pt idx="35">
                  <c:v>4.5000000000000009</c:v>
                </c:pt>
                <c:pt idx="36">
                  <c:v>4.6000000000000005</c:v>
                </c:pt>
                <c:pt idx="37">
                  <c:v>4.7</c:v>
                </c:pt>
                <c:pt idx="38">
                  <c:v>4.8</c:v>
                </c:pt>
                <c:pt idx="39">
                  <c:v>4.8999999999999995</c:v>
                </c:pt>
                <c:pt idx="40">
                  <c:v>4.9999999999999991</c:v>
                </c:pt>
                <c:pt idx="41">
                  <c:v>5.0999999999999988</c:v>
                </c:pt>
                <c:pt idx="42">
                  <c:v>5.1999999999999984</c:v>
                </c:pt>
                <c:pt idx="43">
                  <c:v>5.299999999999998</c:v>
                </c:pt>
                <c:pt idx="44">
                  <c:v>5.3999999999999977</c:v>
                </c:pt>
                <c:pt idx="45">
                  <c:v>5.4999999999999973</c:v>
                </c:pt>
                <c:pt idx="46">
                  <c:v>5.599999999999997</c:v>
                </c:pt>
                <c:pt idx="47">
                  <c:v>5.6999999999999966</c:v>
                </c:pt>
                <c:pt idx="48">
                  <c:v>5.7999999999999963</c:v>
                </c:pt>
                <c:pt idx="49">
                  <c:v>5.8999999999999959</c:v>
                </c:pt>
                <c:pt idx="50">
                  <c:v>5.9999999999999956</c:v>
                </c:pt>
              </c:numCache>
            </c:numRef>
          </c:xVal>
          <c:yVal>
            <c:numRef>
              <c:f>Sheet1!$X$13:$X$63</c:f>
              <c:numCache>
                <c:formatCode>General</c:formatCode>
                <c:ptCount val="51"/>
                <c:pt idx="0">
                  <c:v>0</c:v>
                </c:pt>
                <c:pt idx="1">
                  <c:v>7.2163699999999997E-2</c:v>
                </c:pt>
                <c:pt idx="2">
                  <c:v>0.14210560000000003</c:v>
                </c:pt>
                <c:pt idx="3">
                  <c:v>0.2098719</c:v>
                </c:pt>
                <c:pt idx="4">
                  <c:v>0.2755088</c:v>
                </c:pt>
                <c:pt idx="5">
                  <c:v>0.33906250000000004</c:v>
                </c:pt>
                <c:pt idx="6">
                  <c:v>0.40057920000000002</c:v>
                </c:pt>
                <c:pt idx="7">
                  <c:v>0.46010510000000004</c:v>
                </c:pt>
                <c:pt idx="8">
                  <c:v>0.5176864000000001</c:v>
                </c:pt>
                <c:pt idx="9">
                  <c:v>0.57336930000000008</c:v>
                </c:pt>
                <c:pt idx="10">
                  <c:v>0.62720000000000009</c:v>
                </c:pt>
                <c:pt idx="11">
                  <c:v>0.67922470000000013</c:v>
                </c:pt>
                <c:pt idx="12">
                  <c:v>0.72948960000000018</c:v>
                </c:pt>
                <c:pt idx="13">
                  <c:v>0.77804090000000015</c:v>
                </c:pt>
                <c:pt idx="14">
                  <c:v>0.82492480000000012</c:v>
                </c:pt>
                <c:pt idx="15">
                  <c:v>0.87018750000000022</c:v>
                </c:pt>
                <c:pt idx="16">
                  <c:v>0.91387520000000022</c:v>
                </c:pt>
                <c:pt idx="17">
                  <c:v>0.95603410000000022</c:v>
                </c:pt>
                <c:pt idx="18">
                  <c:v>0.99671040000000033</c:v>
                </c:pt>
                <c:pt idx="19">
                  <c:v>1.0359503000000003</c:v>
                </c:pt>
                <c:pt idx="20">
                  <c:v>1.0738000000000003</c:v>
                </c:pt>
                <c:pt idx="21">
                  <c:v>1.1103057000000005</c:v>
                </c:pt>
                <c:pt idx="22">
                  <c:v>1.1455136000000004</c:v>
                </c:pt>
                <c:pt idx="23">
                  <c:v>1.1794699000000004</c:v>
                </c:pt>
                <c:pt idx="24">
                  <c:v>1.2122208000000005</c:v>
                </c:pt>
                <c:pt idx="25">
                  <c:v>1.2438125000000004</c:v>
                </c:pt>
                <c:pt idx="26">
                  <c:v>1.2742912000000006</c:v>
                </c:pt>
                <c:pt idx="27">
                  <c:v>1.3037031000000003</c:v>
                </c:pt>
                <c:pt idx="28">
                  <c:v>1.3320944000000003</c:v>
                </c:pt>
                <c:pt idx="29">
                  <c:v>1.3595113000000005</c:v>
                </c:pt>
                <c:pt idx="30">
                  <c:v>1.3860000000000008</c:v>
                </c:pt>
                <c:pt idx="31">
                  <c:v>1.4116067000000005</c:v>
                </c:pt>
                <c:pt idx="32">
                  <c:v>1.4363776000000006</c:v>
                </c:pt>
                <c:pt idx="33">
                  <c:v>1.4603589000000003</c:v>
                </c:pt>
                <c:pt idx="34">
                  <c:v>1.4835968000000004</c:v>
                </c:pt>
                <c:pt idx="35">
                  <c:v>1.5061375000000001</c:v>
                </c:pt>
                <c:pt idx="36">
                  <c:v>1.5280272000000004</c:v>
                </c:pt>
                <c:pt idx="37">
                  <c:v>1.5493121000000001</c:v>
                </c:pt>
                <c:pt idx="38">
                  <c:v>1.5700384000000001</c:v>
                </c:pt>
                <c:pt idx="39">
                  <c:v>1.5902523</c:v>
                </c:pt>
                <c:pt idx="40">
                  <c:v>1.6099999999999999</c:v>
                </c:pt>
                <c:pt idx="41">
                  <c:v>1.6293276999999997</c:v>
                </c:pt>
                <c:pt idx="42">
                  <c:v>1.6482815999999996</c:v>
                </c:pt>
                <c:pt idx="43">
                  <c:v>1.6669079</c:v>
                </c:pt>
                <c:pt idx="44">
                  <c:v>1.6852527999999996</c:v>
                </c:pt>
                <c:pt idx="45">
                  <c:v>1.7033624999999992</c:v>
                </c:pt>
                <c:pt idx="46">
                  <c:v>1.7212831999999998</c:v>
                </c:pt>
                <c:pt idx="47">
                  <c:v>1.7390610999999996</c:v>
                </c:pt>
                <c:pt idx="48">
                  <c:v>1.7567423999999996</c:v>
                </c:pt>
                <c:pt idx="49">
                  <c:v>1.7743732999999993</c:v>
                </c:pt>
                <c:pt idx="50">
                  <c:v>1.7919999999999994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C6-4A05-BF3F-91B1AA707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550287"/>
        <c:axId val="1174752975"/>
      </c:scatterChart>
      <c:valAx>
        <c:axId val="132455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52975"/>
        <c:crosses val="autoZero"/>
        <c:crossBetween val="midCat"/>
      </c:valAx>
      <c:valAx>
        <c:axId val="11747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5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117161</xdr:colOff>
      <xdr:row>11</xdr:row>
      <xdr:rowOff>149350</xdr:rowOff>
    </xdr:from>
    <xdr:to>
      <xdr:col>9</xdr:col>
      <xdr:colOff>353935</xdr:colOff>
      <xdr:row>23</xdr:row>
      <xdr:rowOff>20819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2B475F-244E-4FFB-88E9-6C31CD43D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367008</xdr:colOff>
      <xdr:row>11</xdr:row>
      <xdr:rowOff>81366</xdr:rowOff>
    </xdr:from>
    <xdr:to>
      <xdr:col>20</xdr:col>
      <xdr:colOff>301356</xdr:colOff>
      <xdr:row>22</xdr:row>
      <xdr:rowOff>80972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6089F-EEAD-0949-53A1-1B4F10C67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358843</xdr:colOff>
      <xdr:row>11</xdr:row>
      <xdr:rowOff>15207</xdr:rowOff>
    </xdr:from>
    <xdr:to>
      <xdr:col>31</xdr:col>
      <xdr:colOff>176967</xdr:colOff>
      <xdr:row>21</xdr:row>
      <xdr:rowOff>146637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2A467-A870-E374-3A9B-CF4A162A4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4420-07B7-43C8-843C-2AF1142A9D7A}">
  <dimension ref="B2:AA63"/>
  <sheetViews>
    <sheetView tabSelected="1" zoomScale="61" zoomScaleNormal="73" workbookViewId="0">
      <selection activeCell="J7" sqref="J7"/>
    </sheetView>
  </sheetViews>
  <sheetFormatPr defaultRowHeight="14.5" x14ac:dyDescent="0.35"/>
  <sheetData>
    <row r="2" spans="2:27" ht="28.5" x14ac:dyDescent="0.65">
      <c r="B2" s="6" t="s">
        <v>0</v>
      </c>
      <c r="C2" s="6"/>
      <c r="D2" s="6"/>
    </row>
    <row r="4" spans="2:27" x14ac:dyDescent="0.35">
      <c r="B4" s="10" t="s">
        <v>1</v>
      </c>
      <c r="C4" s="10"/>
      <c r="D4" s="10"/>
      <c r="E4" s="10"/>
      <c r="K4" s="10" t="s">
        <v>7</v>
      </c>
      <c r="L4" s="10"/>
      <c r="M4" s="10"/>
      <c r="N4" s="10"/>
      <c r="O4" s="10"/>
      <c r="V4" s="10" t="s">
        <v>8</v>
      </c>
      <c r="W4" s="10"/>
      <c r="X4" s="10"/>
      <c r="Y4" s="10"/>
      <c r="Z4" s="10"/>
      <c r="AA4" s="10"/>
    </row>
    <row r="5" spans="2:27" x14ac:dyDescent="0.35">
      <c r="B5" s="3" t="s">
        <v>4</v>
      </c>
      <c r="C5" s="3" t="s">
        <v>3</v>
      </c>
      <c r="D5" s="3" t="s">
        <v>2</v>
      </c>
      <c r="E5" s="3" t="s">
        <v>1</v>
      </c>
      <c r="K5" s="3" t="s">
        <v>4</v>
      </c>
      <c r="L5" s="3" t="s">
        <v>3</v>
      </c>
      <c r="M5" s="3" t="s">
        <v>2</v>
      </c>
      <c r="N5" s="3" t="s">
        <v>1</v>
      </c>
      <c r="O5" s="3" t="s">
        <v>7</v>
      </c>
      <c r="V5" s="3" t="s">
        <v>4</v>
      </c>
      <c r="W5" s="3" t="s">
        <v>3</v>
      </c>
      <c r="X5" s="3" t="s">
        <v>2</v>
      </c>
      <c r="Y5" s="3" t="s">
        <v>9</v>
      </c>
      <c r="Z5" s="3" t="s">
        <v>10</v>
      </c>
      <c r="AA5" s="3" t="s">
        <v>11</v>
      </c>
    </row>
    <row r="6" spans="2:27" x14ac:dyDescent="0.35">
      <c r="B6" s="1">
        <v>0</v>
      </c>
      <c r="C6" s="1">
        <v>1</v>
      </c>
      <c r="D6" s="1">
        <v>0</v>
      </c>
      <c r="E6" s="2">
        <f>D6+((D7-D6)/(C7-C6))*(2-C6)</f>
        <v>0.46199999999999997</v>
      </c>
      <c r="K6" s="1">
        <f>B6</f>
        <v>0</v>
      </c>
      <c r="L6" s="1">
        <f>C6</f>
        <v>1</v>
      </c>
      <c r="M6" s="1">
        <f>D6</f>
        <v>0</v>
      </c>
      <c r="N6" s="2">
        <f>E6</f>
        <v>0.46199999999999997</v>
      </c>
      <c r="O6" s="9">
        <f>(((M8-M7)/(L8-L7)-N6)/(L8-L6))</f>
        <v>-5.1799999999999978E-2</v>
      </c>
      <c r="V6" s="4">
        <v>0</v>
      </c>
      <c r="W6" s="4">
        <v>1</v>
      </c>
      <c r="X6" s="4">
        <v>0</v>
      </c>
      <c r="Y6" s="4">
        <f>(X7-X6)/(W7-W6)</f>
        <v>0.46199999999999997</v>
      </c>
      <c r="Z6" s="4">
        <f>(Y7-Y6)/(W8-W6)</f>
        <v>-5.9499999999999942E-2</v>
      </c>
      <c r="AA6" s="4">
        <f>(Z7-Z6)/(W9-W6)</f>
        <v>7.6999999999999621E-3</v>
      </c>
    </row>
    <row r="7" spans="2:27" x14ac:dyDescent="0.35">
      <c r="B7" s="1">
        <v>1</v>
      </c>
      <c r="C7" s="1">
        <v>4</v>
      </c>
      <c r="D7" s="1">
        <v>1.3859999999999999</v>
      </c>
      <c r="E7" s="7"/>
      <c r="K7" s="1">
        <f>B7</f>
        <v>1</v>
      </c>
      <c r="L7" s="1">
        <f>C7</f>
        <v>4</v>
      </c>
      <c r="M7" s="1">
        <f>D7</f>
        <v>1.3859999999999999</v>
      </c>
      <c r="N7" s="1">
        <f>(M8-M7)/(L8-L7)</f>
        <v>0.20300000000000007</v>
      </c>
      <c r="V7" s="4">
        <v>1</v>
      </c>
      <c r="W7" s="4">
        <v>4</v>
      </c>
      <c r="X7" s="4">
        <v>1.3859999999999999</v>
      </c>
      <c r="Y7" s="4">
        <f>(X8-X7)/(W8-W7)</f>
        <v>0.2240000000000002</v>
      </c>
      <c r="Z7" s="4">
        <f>(Y8-Y7)/(W9-W7)</f>
        <v>-2.100000000000013E-2</v>
      </c>
      <c r="AA7" s="8"/>
    </row>
    <row r="8" spans="2:27" x14ac:dyDescent="0.35">
      <c r="K8" s="4">
        <v>2</v>
      </c>
      <c r="L8" s="4">
        <v>6</v>
      </c>
      <c r="M8" s="4">
        <v>1.792</v>
      </c>
      <c r="V8" s="4">
        <v>2</v>
      </c>
      <c r="W8" s="4">
        <v>5</v>
      </c>
      <c r="X8" s="4">
        <v>1.61</v>
      </c>
      <c r="Y8" s="4">
        <f>(X9-X8)/(W9-W8)</f>
        <v>0.18199999999999994</v>
      </c>
      <c r="Z8" s="8"/>
      <c r="AA8" s="8"/>
    </row>
    <row r="9" spans="2:27" x14ac:dyDescent="0.35">
      <c r="C9" s="5" t="s">
        <v>5</v>
      </c>
      <c r="D9" s="5" t="s">
        <v>6</v>
      </c>
      <c r="V9" s="4">
        <v>3</v>
      </c>
      <c r="W9" s="4">
        <v>6</v>
      </c>
      <c r="X9" s="4">
        <v>1.792</v>
      </c>
      <c r="Y9" s="8"/>
      <c r="Z9" s="8"/>
      <c r="AA9" s="8"/>
    </row>
    <row r="10" spans="2:27" x14ac:dyDescent="0.35">
      <c r="C10" s="4">
        <v>1</v>
      </c>
      <c r="D10" s="4">
        <f t="shared" ref="D10:D40" si="0">$D$6+(($D$7-$D$6)/($C$7-$C$6))*(C10-$C$6)</f>
        <v>0</v>
      </c>
      <c r="L10" s="3" t="s">
        <v>5</v>
      </c>
      <c r="M10" s="3" t="s">
        <v>6</v>
      </c>
      <c r="V10" s="8"/>
      <c r="W10" s="8"/>
      <c r="X10" s="8"/>
      <c r="Y10" s="8"/>
      <c r="Z10" s="8"/>
      <c r="AA10" s="8"/>
    </row>
    <row r="11" spans="2:27" x14ac:dyDescent="0.35">
      <c r="C11" s="4">
        <f>C10+0.1</f>
        <v>1.1000000000000001</v>
      </c>
      <c r="D11" s="4">
        <f t="shared" si="0"/>
        <v>4.620000000000004E-2</v>
      </c>
      <c r="L11" s="1">
        <v>1</v>
      </c>
      <c r="M11" s="1">
        <f>($M$6+($N$6*(L11-$L$6)+($O$6*(L11-$L$6)*(L11-$L$7))))</f>
        <v>0</v>
      </c>
    </row>
    <row r="12" spans="2:27" x14ac:dyDescent="0.35">
      <c r="C12" s="4">
        <v>1.2</v>
      </c>
      <c r="D12" s="4">
        <f t="shared" si="0"/>
        <v>9.2399999999999968E-2</v>
      </c>
      <c r="L12" s="1">
        <f>L11+0.1</f>
        <v>1.1000000000000001</v>
      </c>
      <c r="M12" s="1">
        <f t="shared" ref="M12:M61" si="1">($M$6+($N$6*(L12-$L$6)+($O$6*(L12-$L$6)*(L12-$L$7))))</f>
        <v>6.1222000000000047E-2</v>
      </c>
      <c r="W12" s="3" t="s">
        <v>5</v>
      </c>
      <c r="X12" s="3" t="s">
        <v>6</v>
      </c>
    </row>
    <row r="13" spans="2:27" x14ac:dyDescent="0.35">
      <c r="C13" s="4">
        <f t="shared" ref="C13:C20" si="2">C12+0.1</f>
        <v>1.3</v>
      </c>
      <c r="D13" s="4">
        <f t="shared" si="0"/>
        <v>0.1386</v>
      </c>
      <c r="L13" s="1">
        <f>L12+0.1</f>
        <v>1.2000000000000002</v>
      </c>
      <c r="M13" s="1">
        <f t="shared" si="1"/>
        <v>0.12140800000000009</v>
      </c>
      <c r="W13" s="4">
        <v>1</v>
      </c>
      <c r="X13" s="4">
        <f>($X$6+($Y$6*(W13-$W$6))+($Z$6*(W13-$W$6)*(W13-$W$7))+($AA$6*(W13-$W$6)*(W13-$W$7)*(W13-$W$8)))</f>
        <v>0</v>
      </c>
    </row>
    <row r="14" spans="2:27" x14ac:dyDescent="0.35">
      <c r="C14" s="4">
        <f>C13+0.1</f>
        <v>1.4000000000000001</v>
      </c>
      <c r="D14" s="4">
        <f t="shared" si="0"/>
        <v>0.18480000000000005</v>
      </c>
      <c r="L14" s="1">
        <f t="shared" ref="L14:L16" si="3">L13+0.1</f>
        <v>1.3000000000000003</v>
      </c>
      <c r="M14" s="1">
        <f t="shared" si="1"/>
        <v>0.18055800000000014</v>
      </c>
      <c r="W14" s="4">
        <f>W13+0.1</f>
        <v>1.1000000000000001</v>
      </c>
      <c r="X14" s="4">
        <f>($X$6+($Y$6*(W14-$W$6))+($Z$6*(W14-$W$6)*(W14-$W$7))+($AA$6*(W14-$W$6)*(W14-$W$7)*(W14-$W$8)))</f>
        <v>7.2163699999999997E-2</v>
      </c>
    </row>
    <row r="15" spans="2:27" x14ac:dyDescent="0.35">
      <c r="C15" s="4">
        <f>C14+0.1</f>
        <v>1.5000000000000002</v>
      </c>
      <c r="D15" s="4">
        <f t="shared" si="0"/>
        <v>0.23100000000000009</v>
      </c>
      <c r="L15" s="1">
        <f t="shared" si="3"/>
        <v>1.4000000000000004</v>
      </c>
      <c r="M15" s="1">
        <f t="shared" si="1"/>
        <v>0.23867200000000016</v>
      </c>
      <c r="W15" s="4">
        <f>W14+0.1</f>
        <v>1.2000000000000002</v>
      </c>
      <c r="X15" s="4">
        <f>($X$6+($Y$6*(W15-$W$6))+($Z$6*(W15-$W$6)*(W15-$W$7))+($AA$6*(W15-$W$6)*(W15-$W$7)*(W15-$W$8)))</f>
        <v>0.14210560000000003</v>
      </c>
    </row>
    <row r="16" spans="2:27" x14ac:dyDescent="0.35">
      <c r="C16" s="4">
        <f t="shared" si="2"/>
        <v>1.6000000000000003</v>
      </c>
      <c r="D16" s="4">
        <f t="shared" si="0"/>
        <v>0.27720000000000011</v>
      </c>
      <c r="L16" s="1">
        <f t="shared" si="3"/>
        <v>1.5000000000000004</v>
      </c>
      <c r="M16" s="1">
        <f t="shared" si="1"/>
        <v>0.29575000000000018</v>
      </c>
      <c r="W16" s="4">
        <f t="shared" ref="W16:W22" si="4">W15+0.1</f>
        <v>1.3000000000000003</v>
      </c>
      <c r="X16" s="4">
        <f>($X$6+($Y$6*(W16-$W$6))+($Z$6*(W16-$W$6)*(W16-$W$7))+($AA$6*(W16-$W$6)*(W16-$W$7)*(W16-$W$8)))</f>
        <v>0.2098719</v>
      </c>
    </row>
    <row r="17" spans="3:24" x14ac:dyDescent="0.35">
      <c r="C17" s="4">
        <f t="shared" si="2"/>
        <v>1.7000000000000004</v>
      </c>
      <c r="D17" s="4">
        <f t="shared" si="0"/>
        <v>0.32340000000000019</v>
      </c>
      <c r="L17" s="1">
        <f>L16+0.1</f>
        <v>1.6000000000000005</v>
      </c>
      <c r="M17" s="1">
        <f t="shared" si="1"/>
        <v>0.35179200000000022</v>
      </c>
      <c r="W17" s="4">
        <f t="shared" si="4"/>
        <v>1.4000000000000004</v>
      </c>
      <c r="X17" s="4">
        <f>($X$6+($Y$6*(W17-$W$6))+($Z$6*(W17-$W$6)*(W17-$W$7))+($AA$6*(W17-$W$6)*(W17-$W$7)*(W17-$W$8)))</f>
        <v>0.2755088</v>
      </c>
    </row>
    <row r="18" spans="3:24" x14ac:dyDescent="0.35">
      <c r="C18" s="4">
        <f t="shared" si="2"/>
        <v>1.8000000000000005</v>
      </c>
      <c r="D18" s="4">
        <f t="shared" si="0"/>
        <v>0.36960000000000021</v>
      </c>
      <c r="L18" s="1">
        <f>L17+0.1</f>
        <v>1.7000000000000006</v>
      </c>
      <c r="M18" s="1">
        <f t="shared" si="1"/>
        <v>0.40679800000000027</v>
      </c>
      <c r="W18" s="4">
        <f t="shared" si="4"/>
        <v>1.5000000000000004</v>
      </c>
      <c r="X18" s="4">
        <f>($X$6+($Y$6*(W18-$W$6))+($Z$6*(W18-$W$6)*(W18-$W$7))+($AA$6*(W18-$W$6)*(W18-$W$7)*(W18-$W$8)))</f>
        <v>0.33906250000000004</v>
      </c>
    </row>
    <row r="19" spans="3:24" x14ac:dyDescent="0.35">
      <c r="C19" s="4">
        <f t="shared" si="2"/>
        <v>1.9000000000000006</v>
      </c>
      <c r="D19" s="4">
        <f t="shared" si="0"/>
        <v>0.41580000000000022</v>
      </c>
      <c r="L19" s="1">
        <f t="shared" ref="L19:L61" si="5">L18+0.1</f>
        <v>1.8000000000000007</v>
      </c>
      <c r="M19" s="1">
        <f t="shared" si="1"/>
        <v>0.46076800000000034</v>
      </c>
      <c r="W19" s="4">
        <f t="shared" si="4"/>
        <v>1.6000000000000005</v>
      </c>
      <c r="X19" s="4">
        <f>($X$6+($Y$6*(W19-$W$6))+($Z$6*(W19-$W$6)*(W19-$W$7))+($AA$6*(W19-$W$6)*(W19-$W$7)*(W19-$W$8)))</f>
        <v>0.40057920000000002</v>
      </c>
    </row>
    <row r="20" spans="3:24" x14ac:dyDescent="0.35">
      <c r="C20" s="4">
        <f t="shared" si="2"/>
        <v>2.0000000000000004</v>
      </c>
      <c r="D20" s="4">
        <f t="shared" si="0"/>
        <v>0.46200000000000019</v>
      </c>
      <c r="L20" s="1">
        <f t="shared" si="5"/>
        <v>1.9000000000000008</v>
      </c>
      <c r="M20" s="1">
        <f t="shared" si="1"/>
        <v>0.51370200000000033</v>
      </c>
      <c r="W20" s="4">
        <f t="shared" si="4"/>
        <v>1.7000000000000006</v>
      </c>
      <c r="X20" s="4">
        <f>($X$6+($Y$6*(W20-$W$6))+($Z$6*(W20-$W$6)*(W20-$W$7))+($AA$6*(W20-$W$6)*(W20-$W$7)*(W20-$W$8)))</f>
        <v>0.46010510000000004</v>
      </c>
    </row>
    <row r="21" spans="3:24" x14ac:dyDescent="0.35">
      <c r="C21" s="4">
        <f>C20+0.1</f>
        <v>2.1000000000000005</v>
      </c>
      <c r="D21" s="4">
        <f t="shared" si="0"/>
        <v>0.50820000000000021</v>
      </c>
      <c r="L21" s="1">
        <f t="shared" si="5"/>
        <v>2.0000000000000009</v>
      </c>
      <c r="M21" s="1">
        <f t="shared" si="1"/>
        <v>0.56560000000000032</v>
      </c>
      <c r="W21" s="4">
        <f t="shared" si="4"/>
        <v>1.8000000000000007</v>
      </c>
      <c r="X21" s="4">
        <f>($X$6+($Y$6*(W21-$W$6))+($Z$6*(W21-$W$6)*(W21-$W$7))+($AA$6*(W21-$W$6)*(W21-$W$7)*(W21-$W$8)))</f>
        <v>0.5176864000000001</v>
      </c>
    </row>
    <row r="22" spans="3:24" x14ac:dyDescent="0.35">
      <c r="C22" s="4">
        <v>2.2000000000000002</v>
      </c>
      <c r="D22" s="4">
        <f t="shared" si="0"/>
        <v>0.5544</v>
      </c>
      <c r="L22" s="1">
        <f t="shared" si="5"/>
        <v>2.100000000000001</v>
      </c>
      <c r="M22" s="1">
        <f t="shared" si="1"/>
        <v>0.6164620000000004</v>
      </c>
      <c r="W22" s="4">
        <f t="shared" si="4"/>
        <v>1.9000000000000008</v>
      </c>
      <c r="X22" s="4">
        <f>($X$6+($Y$6*(W22-$W$6))+($Z$6*(W22-$W$6)*(W22-$W$7))+($AA$6*(W22-$W$6)*(W22-$W$7)*(W22-$W$8)))</f>
        <v>0.57336930000000008</v>
      </c>
    </row>
    <row r="23" spans="3:24" x14ac:dyDescent="0.35">
      <c r="C23" s="4">
        <f t="shared" ref="C23" si="6">C22+0.1</f>
        <v>2.3000000000000003</v>
      </c>
      <c r="D23" s="4">
        <f t="shared" si="0"/>
        <v>0.60060000000000013</v>
      </c>
      <c r="L23" s="1">
        <f t="shared" si="5"/>
        <v>2.2000000000000011</v>
      </c>
      <c r="M23" s="1">
        <f t="shared" si="1"/>
        <v>0.66628800000000044</v>
      </c>
      <c r="W23" s="4">
        <f>W22+0.1</f>
        <v>2.0000000000000009</v>
      </c>
      <c r="X23" s="4">
        <f>($X$6+($Y$6*(W23-$W$6))+($Z$6*(W23-$W$6)*(W23-$W$7))+($AA$6*(W23-$W$6)*(W23-$W$7)*(W23-$W$8)))</f>
        <v>0.62720000000000009</v>
      </c>
    </row>
    <row r="24" spans="3:24" x14ac:dyDescent="0.35">
      <c r="C24" s="4">
        <f>C23+0.1</f>
        <v>2.4000000000000004</v>
      </c>
      <c r="D24" s="4">
        <f t="shared" si="0"/>
        <v>0.64680000000000015</v>
      </c>
      <c r="L24" s="1">
        <f t="shared" si="5"/>
        <v>2.3000000000000012</v>
      </c>
      <c r="M24" s="1">
        <f t="shared" si="1"/>
        <v>0.71507800000000044</v>
      </c>
      <c r="W24" s="4">
        <f>W23+0.1</f>
        <v>2.100000000000001</v>
      </c>
      <c r="X24" s="4">
        <f>($X$6+($Y$6*(W24-$W$6))+($Z$6*(W24-$W$6)*(W24-$W$7))+($AA$6*(W24-$W$6)*(W24-$W$7)*(W24-$W$8)))</f>
        <v>0.67922470000000013</v>
      </c>
    </row>
    <row r="25" spans="3:24" x14ac:dyDescent="0.35">
      <c r="C25" s="4">
        <f>C24+0.1</f>
        <v>2.5000000000000004</v>
      </c>
      <c r="D25" s="4">
        <f t="shared" si="0"/>
        <v>0.69300000000000017</v>
      </c>
      <c r="L25" s="1">
        <f t="shared" si="5"/>
        <v>2.4000000000000012</v>
      </c>
      <c r="M25" s="1">
        <f t="shared" si="1"/>
        <v>0.7628320000000004</v>
      </c>
      <c r="W25" s="4">
        <f t="shared" ref="W25:W63" si="7">W24+0.1</f>
        <v>2.2000000000000011</v>
      </c>
      <c r="X25" s="4">
        <f>($X$6+($Y$6*(W25-$W$6))+($Z$6*(W25-$W$6)*(W25-$W$7))+($AA$6*(W25-$W$6)*(W25-$W$7)*(W25-$W$8)))</f>
        <v>0.72948960000000018</v>
      </c>
    </row>
    <row r="26" spans="3:24" x14ac:dyDescent="0.35">
      <c r="C26" s="4">
        <f t="shared" ref="C26" si="8">C25+0.1</f>
        <v>2.6000000000000005</v>
      </c>
      <c r="D26" s="4">
        <f t="shared" si="0"/>
        <v>0.73920000000000019</v>
      </c>
      <c r="L26" s="1">
        <f t="shared" si="5"/>
        <v>2.5000000000000013</v>
      </c>
      <c r="M26" s="1">
        <f t="shared" si="1"/>
        <v>0.80955000000000055</v>
      </c>
      <c r="W26" s="4">
        <f t="shared" si="7"/>
        <v>2.3000000000000012</v>
      </c>
      <c r="X26" s="4">
        <f>($X$6+($Y$6*(W26-$W$6))+($Z$6*(W26-$W$6)*(W26-$W$7))+($AA$6*(W26-$W$6)*(W26-$W$7)*(W26-$W$8)))</f>
        <v>0.77804090000000015</v>
      </c>
    </row>
    <row r="27" spans="3:24" x14ac:dyDescent="0.35">
      <c r="C27" s="4">
        <f>C26+0.1</f>
        <v>2.7000000000000006</v>
      </c>
      <c r="D27" s="4">
        <f t="shared" si="0"/>
        <v>0.78540000000000021</v>
      </c>
      <c r="L27" s="1">
        <f t="shared" si="5"/>
        <v>2.6000000000000014</v>
      </c>
      <c r="M27" s="1">
        <f t="shared" si="1"/>
        <v>0.85523200000000055</v>
      </c>
      <c r="W27" s="4">
        <f t="shared" si="7"/>
        <v>2.4000000000000012</v>
      </c>
      <c r="X27" s="4">
        <f>($X$6+($Y$6*(W27-$W$6))+($Z$6*(W27-$W$6)*(W27-$W$7))+($AA$6*(W27-$W$6)*(W27-$W$7)*(W27-$W$8)))</f>
        <v>0.82492480000000012</v>
      </c>
    </row>
    <row r="28" spans="3:24" x14ac:dyDescent="0.35">
      <c r="C28" s="4">
        <f t="shared" ref="C28" si="9">C27+0.1</f>
        <v>2.8000000000000007</v>
      </c>
      <c r="D28" s="4">
        <f t="shared" si="0"/>
        <v>0.83160000000000023</v>
      </c>
      <c r="L28" s="1">
        <f t="shared" si="5"/>
        <v>2.7000000000000015</v>
      </c>
      <c r="M28" s="1">
        <f t="shared" si="1"/>
        <v>0.89987800000000062</v>
      </c>
      <c r="W28" s="4">
        <f t="shared" si="7"/>
        <v>2.5000000000000013</v>
      </c>
      <c r="X28" s="4">
        <f>($X$6+($Y$6*(W28-$W$6))+($Z$6*(W28-$W$6)*(W28-$W$7))+($AA$6*(W28-$W$6)*(W28-$W$7)*(W28-$W$8)))</f>
        <v>0.87018750000000022</v>
      </c>
    </row>
    <row r="29" spans="3:24" x14ac:dyDescent="0.35">
      <c r="C29" s="4">
        <f>C28+0.1</f>
        <v>2.9000000000000008</v>
      </c>
      <c r="D29" s="4">
        <f t="shared" si="0"/>
        <v>0.87780000000000036</v>
      </c>
      <c r="L29" s="1">
        <f t="shared" si="5"/>
        <v>2.8000000000000016</v>
      </c>
      <c r="M29" s="1">
        <f>($M$6+($N$6*(L29-$L$6)+($O$6*(L29-$L$6)*(L29-$L$7))))</f>
        <v>0.94348800000000055</v>
      </c>
      <c r="W29" s="4">
        <f t="shared" si="7"/>
        <v>2.6000000000000014</v>
      </c>
      <c r="X29" s="4">
        <f>($X$6+($Y$6*(W29-$W$6))+($Z$6*(W29-$W$6)*(W29-$W$7))+($AA$6*(W29-$W$6)*(W29-$W$7)*(W29-$W$8)))</f>
        <v>0.91387520000000022</v>
      </c>
    </row>
    <row r="30" spans="3:24" x14ac:dyDescent="0.35">
      <c r="C30" s="4">
        <f>C29+0.1</f>
        <v>3.0000000000000009</v>
      </c>
      <c r="D30" s="4">
        <f t="shared" si="0"/>
        <v>0.92400000000000038</v>
      </c>
      <c r="L30" s="1">
        <f t="shared" si="5"/>
        <v>2.9000000000000017</v>
      </c>
      <c r="M30" s="1">
        <f t="shared" si="1"/>
        <v>0.98606200000000055</v>
      </c>
      <c r="W30" s="4">
        <f t="shared" si="7"/>
        <v>2.7000000000000015</v>
      </c>
      <c r="X30" s="4">
        <f>($X$6+($Y$6*(W30-$W$6))+($Z$6*(W30-$W$6)*(W30-$W$7))+($AA$6*(W30-$W$6)*(W30-$W$7)*(W30-$W$8)))</f>
        <v>0.95603410000000022</v>
      </c>
    </row>
    <row r="31" spans="3:24" x14ac:dyDescent="0.35">
      <c r="C31" s="4">
        <f t="shared" ref="C31" si="10">C30+0.1</f>
        <v>3.100000000000001</v>
      </c>
      <c r="D31" s="4">
        <f t="shared" si="0"/>
        <v>0.9702000000000004</v>
      </c>
      <c r="L31" s="1">
        <f t="shared" si="5"/>
        <v>3.0000000000000018</v>
      </c>
      <c r="M31" s="1">
        <f t="shared" si="1"/>
        <v>1.0276000000000005</v>
      </c>
      <c r="W31" s="4">
        <f t="shared" si="7"/>
        <v>2.8000000000000016</v>
      </c>
      <c r="X31" s="4">
        <f>($X$6+($Y$6*(W31-$W$6))+($Z$6*(W31-$W$6)*(W31-$W$7))+($AA$6*(W31-$W$6)*(W31-$W$7)*(W31-$W$8)))</f>
        <v>0.99671040000000033</v>
      </c>
    </row>
    <row r="32" spans="3:24" x14ac:dyDescent="0.35">
      <c r="C32" s="4">
        <f>C31+0.1</f>
        <v>3.2000000000000011</v>
      </c>
      <c r="D32" s="4">
        <f t="shared" si="0"/>
        <v>1.0164000000000004</v>
      </c>
      <c r="L32" s="1">
        <f t="shared" si="5"/>
        <v>3.1000000000000019</v>
      </c>
      <c r="M32" s="1">
        <f t="shared" si="1"/>
        <v>1.0681020000000008</v>
      </c>
      <c r="W32" s="4">
        <f t="shared" si="7"/>
        <v>2.9000000000000017</v>
      </c>
      <c r="X32" s="4">
        <f>($X$6+($Y$6*(W32-$W$6))+($Z$6*(W32-$W$6)*(W32-$W$7))+($AA$6*(W32-$W$6)*(W32-$W$7)*(W32-$W$8)))</f>
        <v>1.0359503000000003</v>
      </c>
    </row>
    <row r="33" spans="3:24" x14ac:dyDescent="0.35">
      <c r="C33" s="4">
        <f t="shared" ref="C33" si="11">C32+0.1</f>
        <v>3.3000000000000012</v>
      </c>
      <c r="D33" s="4">
        <f t="shared" si="0"/>
        <v>1.0626000000000004</v>
      </c>
      <c r="L33" s="1">
        <f t="shared" si="5"/>
        <v>3.200000000000002</v>
      </c>
      <c r="M33" s="1">
        <f t="shared" si="1"/>
        <v>1.1075680000000008</v>
      </c>
      <c r="W33" s="4">
        <f t="shared" si="7"/>
        <v>3.0000000000000018</v>
      </c>
      <c r="X33" s="4">
        <f>($X$6+($Y$6*(W33-$W$6))+($Z$6*(W33-$W$6)*(W33-$W$7))+($AA$6*(W33-$W$6)*(W33-$W$7)*(W33-$W$8)))</f>
        <v>1.0738000000000003</v>
      </c>
    </row>
    <row r="34" spans="3:24" x14ac:dyDescent="0.35">
      <c r="C34" s="4">
        <f>C33+0.1</f>
        <v>3.4000000000000012</v>
      </c>
      <c r="D34" s="4">
        <f t="shared" si="0"/>
        <v>1.1088000000000005</v>
      </c>
      <c r="L34" s="1">
        <f t="shared" si="5"/>
        <v>3.300000000000002</v>
      </c>
      <c r="M34" s="1">
        <f t="shared" si="1"/>
        <v>1.1459980000000007</v>
      </c>
      <c r="W34" s="4">
        <f t="shared" si="7"/>
        <v>3.1000000000000019</v>
      </c>
      <c r="X34" s="4">
        <f>($X$6+($Y$6*(W34-$W$6))+($Z$6*(W34-$W$6)*(W34-$W$7))+($AA$6*(W34-$W$6)*(W34-$W$7)*(W34-$W$8)))</f>
        <v>1.1103057000000005</v>
      </c>
    </row>
    <row r="35" spans="3:24" x14ac:dyDescent="0.35">
      <c r="C35" s="4">
        <f>C34+0.1</f>
        <v>3.5000000000000013</v>
      </c>
      <c r="D35" s="4">
        <f t="shared" si="0"/>
        <v>1.1550000000000005</v>
      </c>
      <c r="L35" s="1">
        <f t="shared" si="5"/>
        <v>3.4000000000000021</v>
      </c>
      <c r="M35" s="1">
        <f t="shared" si="1"/>
        <v>1.1833920000000007</v>
      </c>
      <c r="W35" s="4">
        <f t="shared" si="7"/>
        <v>3.200000000000002</v>
      </c>
      <c r="X35" s="4">
        <f>($X$6+($Y$6*(W35-$W$6))+($Z$6*(W35-$W$6)*(W35-$W$7))+($AA$6*(W35-$W$6)*(W35-$W$7)*(W35-$W$8)))</f>
        <v>1.1455136000000004</v>
      </c>
    </row>
    <row r="36" spans="3:24" x14ac:dyDescent="0.35">
      <c r="C36" s="4">
        <f t="shared" ref="C36" si="12">C35+0.1</f>
        <v>3.6000000000000014</v>
      </c>
      <c r="D36" s="4">
        <f t="shared" si="0"/>
        <v>1.2012000000000005</v>
      </c>
      <c r="L36" s="1">
        <f t="shared" si="5"/>
        <v>3.5000000000000022</v>
      </c>
      <c r="M36" s="1">
        <f t="shared" si="1"/>
        <v>1.2197500000000006</v>
      </c>
      <c r="W36" s="4">
        <f t="shared" si="7"/>
        <v>3.300000000000002</v>
      </c>
      <c r="X36" s="4">
        <f>($X$6+($Y$6*(W36-$W$6))+($Z$6*(W36-$W$6)*(W36-$W$7))+($AA$6*(W36-$W$6)*(W36-$W$7)*(W36-$W$8)))</f>
        <v>1.1794699000000004</v>
      </c>
    </row>
    <row r="37" spans="3:24" x14ac:dyDescent="0.35">
      <c r="C37" s="4">
        <f>C36+0.1</f>
        <v>3.7000000000000015</v>
      </c>
      <c r="D37" s="4">
        <f t="shared" si="0"/>
        <v>1.2474000000000005</v>
      </c>
      <c r="L37" s="1">
        <f t="shared" si="5"/>
        <v>3.6000000000000023</v>
      </c>
      <c r="M37" s="1">
        <f t="shared" si="1"/>
        <v>1.2550720000000006</v>
      </c>
      <c r="W37" s="4">
        <f t="shared" si="7"/>
        <v>3.4000000000000021</v>
      </c>
      <c r="X37" s="4">
        <f>($X$6+($Y$6*(W37-$W$6))+($Z$6*(W37-$W$6)*(W37-$W$7))+($AA$6*(W37-$W$6)*(W37-$W$7)*(W37-$W$8)))</f>
        <v>1.2122208000000005</v>
      </c>
    </row>
    <row r="38" spans="3:24" x14ac:dyDescent="0.35">
      <c r="C38" s="4">
        <f t="shared" ref="C38" si="13">C37+0.1</f>
        <v>3.8000000000000016</v>
      </c>
      <c r="D38" s="4">
        <f t="shared" si="0"/>
        <v>1.2936000000000007</v>
      </c>
      <c r="L38" s="1">
        <f t="shared" si="5"/>
        <v>3.7000000000000024</v>
      </c>
      <c r="M38" s="1">
        <f t="shared" si="1"/>
        <v>1.2893580000000007</v>
      </c>
      <c r="W38" s="4">
        <f t="shared" si="7"/>
        <v>3.5000000000000022</v>
      </c>
      <c r="X38" s="4">
        <f>($X$6+($Y$6*(W38-$W$6))+($Z$6*(W38-$W$6)*(W38-$W$7))+($AA$6*(W38-$W$6)*(W38-$W$7)*(W38-$W$8)))</f>
        <v>1.2438125000000004</v>
      </c>
    </row>
    <row r="39" spans="3:24" x14ac:dyDescent="0.35">
      <c r="C39" s="4">
        <f>C38+0.1</f>
        <v>3.9000000000000017</v>
      </c>
      <c r="D39" s="4">
        <f t="shared" si="0"/>
        <v>1.3398000000000008</v>
      </c>
      <c r="L39" s="1">
        <f t="shared" si="5"/>
        <v>3.8000000000000025</v>
      </c>
      <c r="M39" s="1">
        <f t="shared" si="1"/>
        <v>1.3226080000000007</v>
      </c>
      <c r="W39" s="4">
        <f t="shared" si="7"/>
        <v>3.6000000000000023</v>
      </c>
      <c r="X39" s="4">
        <f>($X$6+($Y$6*(W39-$W$6))+($Z$6*(W39-$W$6)*(W39-$W$7))+($AA$6*(W39-$W$6)*(W39-$W$7)*(W39-$W$8)))</f>
        <v>1.2742912000000006</v>
      </c>
    </row>
    <row r="40" spans="3:24" x14ac:dyDescent="0.35">
      <c r="C40" s="4">
        <f>C39+0.1</f>
        <v>4.0000000000000018</v>
      </c>
      <c r="D40" s="4">
        <f t="shared" si="0"/>
        <v>1.3860000000000008</v>
      </c>
      <c r="L40" s="1">
        <f t="shared" si="5"/>
        <v>3.9000000000000026</v>
      </c>
      <c r="M40" s="1">
        <f t="shared" si="1"/>
        <v>1.3548220000000006</v>
      </c>
      <c r="W40" s="4">
        <f t="shared" si="7"/>
        <v>3.7000000000000024</v>
      </c>
      <c r="X40" s="4">
        <f>($X$6+($Y$6*(W40-$W$6))+($Z$6*(W40-$W$6)*(W40-$W$7))+($AA$6*(W40-$W$6)*(W40-$W$7)*(W40-$W$8)))</f>
        <v>1.3037031000000003</v>
      </c>
    </row>
    <row r="41" spans="3:24" x14ac:dyDescent="0.35">
      <c r="L41" s="1">
        <f t="shared" si="5"/>
        <v>4.0000000000000027</v>
      </c>
      <c r="M41" s="1">
        <f t="shared" si="1"/>
        <v>1.3860000000000008</v>
      </c>
      <c r="W41" s="4">
        <f t="shared" si="7"/>
        <v>3.8000000000000025</v>
      </c>
      <c r="X41" s="4">
        <f>($X$6+($Y$6*(W41-$W$6))+($Z$6*(W41-$W$6)*(W41-$W$7))+($AA$6*(W41-$W$6)*(W41-$W$7)*(W41-$W$8)))</f>
        <v>1.3320944000000003</v>
      </c>
    </row>
    <row r="42" spans="3:24" x14ac:dyDescent="0.35">
      <c r="L42" s="1">
        <f t="shared" si="5"/>
        <v>4.1000000000000023</v>
      </c>
      <c r="M42" s="1">
        <f t="shared" si="1"/>
        <v>1.4161420000000007</v>
      </c>
      <c r="W42" s="4">
        <f t="shared" si="7"/>
        <v>3.9000000000000026</v>
      </c>
      <c r="X42" s="4">
        <f>($X$6+($Y$6*(W42-$W$6))+($Z$6*(W42-$W$6)*(W42-$W$7))+($AA$6*(W42-$W$6)*(W42-$W$7)*(W42-$W$8)))</f>
        <v>1.3595113000000005</v>
      </c>
    </row>
    <row r="43" spans="3:24" x14ac:dyDescent="0.35">
      <c r="L43" s="1">
        <f t="shared" si="5"/>
        <v>4.200000000000002</v>
      </c>
      <c r="M43" s="1">
        <f t="shared" si="1"/>
        <v>1.4452480000000005</v>
      </c>
      <c r="W43" s="4">
        <f t="shared" si="7"/>
        <v>4.0000000000000027</v>
      </c>
      <c r="X43" s="4">
        <f>($X$6+($Y$6*(W43-$W$6))+($Z$6*(W43-$W$6)*(W43-$W$7))+($AA$6*(W43-$W$6)*(W43-$W$7)*(W43-$W$8)))</f>
        <v>1.3860000000000008</v>
      </c>
    </row>
    <row r="44" spans="3:24" x14ac:dyDescent="0.35">
      <c r="L44" s="1">
        <f t="shared" si="5"/>
        <v>4.3000000000000016</v>
      </c>
      <c r="M44" s="1">
        <f t="shared" si="1"/>
        <v>1.4733180000000003</v>
      </c>
      <c r="W44" s="4">
        <f t="shared" si="7"/>
        <v>4.1000000000000023</v>
      </c>
      <c r="X44" s="4">
        <f>($X$6+($Y$6*(W44-$W$6))+($Z$6*(W44-$W$6)*(W44-$W$7))+($AA$6*(W44-$W$6)*(W44-$W$7)*(W44-$W$8)))</f>
        <v>1.4116067000000005</v>
      </c>
    </row>
    <row r="45" spans="3:24" x14ac:dyDescent="0.35">
      <c r="L45" s="1">
        <f t="shared" si="5"/>
        <v>4.4000000000000012</v>
      </c>
      <c r="M45" s="1">
        <f t="shared" si="1"/>
        <v>1.5003520000000001</v>
      </c>
      <c r="W45" s="4">
        <f t="shared" si="7"/>
        <v>4.200000000000002</v>
      </c>
      <c r="X45" s="4">
        <f>($X$6+($Y$6*(W45-$W$6))+($Z$6*(W45-$W$6)*(W45-$W$7))+($AA$6*(W45-$W$6)*(W45-$W$7)*(W45-$W$8)))</f>
        <v>1.4363776000000006</v>
      </c>
    </row>
    <row r="46" spans="3:24" x14ac:dyDescent="0.35">
      <c r="L46" s="1">
        <f t="shared" si="5"/>
        <v>4.5000000000000009</v>
      </c>
      <c r="M46" s="1">
        <f t="shared" si="1"/>
        <v>1.5263500000000001</v>
      </c>
      <c r="W46" s="4">
        <f t="shared" si="7"/>
        <v>4.3000000000000016</v>
      </c>
      <c r="X46" s="4">
        <f>($X$6+($Y$6*(W46-$W$6))+($Z$6*(W46-$W$6)*(W46-$W$7))+($AA$6*(W46-$W$6)*(W46-$W$7)*(W46-$W$8)))</f>
        <v>1.4603589000000003</v>
      </c>
    </row>
    <row r="47" spans="3:24" x14ac:dyDescent="0.35">
      <c r="L47" s="1">
        <f t="shared" si="5"/>
        <v>4.6000000000000005</v>
      </c>
      <c r="M47" s="1">
        <f t="shared" si="1"/>
        <v>1.5513120000000002</v>
      </c>
      <c r="W47" s="4">
        <f t="shared" si="7"/>
        <v>4.4000000000000012</v>
      </c>
      <c r="X47" s="4">
        <f>($X$6+($Y$6*(W47-$W$6))+($Z$6*(W47-$W$6)*(W47-$W$7))+($AA$6*(W47-$W$6)*(W47-$W$7)*(W47-$W$8)))</f>
        <v>1.4835968000000004</v>
      </c>
    </row>
    <row r="48" spans="3:24" x14ac:dyDescent="0.35">
      <c r="L48" s="1">
        <f t="shared" si="5"/>
        <v>4.7</v>
      </c>
      <c r="M48" s="1">
        <f t="shared" si="1"/>
        <v>1.5752380000000001</v>
      </c>
      <c r="W48" s="4">
        <f t="shared" si="7"/>
        <v>4.5000000000000009</v>
      </c>
      <c r="X48" s="4">
        <f>($X$6+($Y$6*(W48-$W$6))+($Z$6*(W48-$W$6)*(W48-$W$7))+($AA$6*(W48-$W$6)*(W48-$W$7)*(W48-$W$8)))</f>
        <v>1.5061375000000001</v>
      </c>
    </row>
    <row r="49" spans="12:24" x14ac:dyDescent="0.35">
      <c r="L49" s="1">
        <f t="shared" si="5"/>
        <v>4.8</v>
      </c>
      <c r="M49" s="1">
        <f t="shared" si="1"/>
        <v>1.598128</v>
      </c>
      <c r="W49" s="4">
        <f t="shared" si="7"/>
        <v>4.6000000000000005</v>
      </c>
      <c r="X49" s="4">
        <f>($X$6+($Y$6*(W49-$W$6))+($Z$6*(W49-$W$6)*(W49-$W$7))+($AA$6*(W49-$W$6)*(W49-$W$7)*(W49-$W$8)))</f>
        <v>1.5280272000000004</v>
      </c>
    </row>
    <row r="50" spans="12:24" x14ac:dyDescent="0.35">
      <c r="L50" s="1">
        <f t="shared" si="5"/>
        <v>4.8999999999999995</v>
      </c>
      <c r="M50" s="1">
        <f t="shared" si="1"/>
        <v>1.6199819999999998</v>
      </c>
      <c r="W50" s="4">
        <f t="shared" si="7"/>
        <v>4.7</v>
      </c>
      <c r="X50" s="4">
        <f>($X$6+($Y$6*(W50-$W$6))+($Z$6*(W50-$W$6)*(W50-$W$7))+($AA$6*(W50-$W$6)*(W50-$W$7)*(W50-$W$8)))</f>
        <v>1.5493121000000001</v>
      </c>
    </row>
    <row r="51" spans="12:24" x14ac:dyDescent="0.35">
      <c r="L51" s="1">
        <f t="shared" si="5"/>
        <v>4.9999999999999991</v>
      </c>
      <c r="M51" s="1">
        <f t="shared" si="1"/>
        <v>1.6407999999999998</v>
      </c>
      <c r="W51" s="4">
        <f t="shared" si="7"/>
        <v>4.8</v>
      </c>
      <c r="X51" s="4">
        <f>($X$6+($Y$6*(W51-$W$6))+($Z$6*(W51-$W$6)*(W51-$W$7))+($AA$6*(W51-$W$6)*(W51-$W$7)*(W51-$W$8)))</f>
        <v>1.5700384000000001</v>
      </c>
    </row>
    <row r="52" spans="12:24" x14ac:dyDescent="0.35">
      <c r="L52" s="1">
        <f t="shared" si="5"/>
        <v>5.0999999999999988</v>
      </c>
      <c r="M52" s="1">
        <f t="shared" si="1"/>
        <v>1.6605819999999996</v>
      </c>
      <c r="W52" s="4">
        <f t="shared" si="7"/>
        <v>4.8999999999999995</v>
      </c>
      <c r="X52" s="4">
        <f>($X$6+($Y$6*(W52-$W$6))+($Z$6*(W52-$W$6)*(W52-$W$7))+($AA$6*(W52-$W$6)*(W52-$W$7)*(W52-$W$8)))</f>
        <v>1.5902523</v>
      </c>
    </row>
    <row r="53" spans="12:24" x14ac:dyDescent="0.35">
      <c r="L53" s="1">
        <f t="shared" si="5"/>
        <v>5.1999999999999984</v>
      </c>
      <c r="M53" s="1">
        <f t="shared" si="1"/>
        <v>1.6793279999999995</v>
      </c>
      <c r="W53" s="4">
        <f t="shared" si="7"/>
        <v>4.9999999999999991</v>
      </c>
      <c r="X53" s="4">
        <f>($X$6+($Y$6*(W53-$W$6))+($Z$6*(W53-$W$6)*(W53-$W$7))+($AA$6*(W53-$W$6)*(W53-$W$7)*(W53-$W$8)))</f>
        <v>1.6099999999999999</v>
      </c>
    </row>
    <row r="54" spans="12:24" x14ac:dyDescent="0.35">
      <c r="L54" s="1">
        <f t="shared" si="5"/>
        <v>5.299999999999998</v>
      </c>
      <c r="M54" s="1">
        <f t="shared" si="1"/>
        <v>1.6970379999999996</v>
      </c>
      <c r="W54" s="4">
        <f t="shared" si="7"/>
        <v>5.0999999999999988</v>
      </c>
      <c r="X54" s="4">
        <f>($X$6+($Y$6*(W54-$W$6))+($Z$6*(W54-$W$6)*(W54-$W$7))+($AA$6*(W54-$W$6)*(W54-$W$7)*(W54-$W$8)))</f>
        <v>1.6293276999999997</v>
      </c>
    </row>
    <row r="55" spans="12:24" x14ac:dyDescent="0.35">
      <c r="L55" s="1">
        <f t="shared" si="5"/>
        <v>5.3999999999999977</v>
      </c>
      <c r="M55" s="1">
        <f t="shared" si="1"/>
        <v>1.7137119999999995</v>
      </c>
      <c r="W55" s="4">
        <f t="shared" si="7"/>
        <v>5.1999999999999984</v>
      </c>
      <c r="X55" s="4">
        <f>($X$6+($Y$6*(W55-$W$6))+($Z$6*(W55-$W$6)*(W55-$W$7))+($AA$6*(W55-$W$6)*(W55-$W$7)*(W55-$W$8)))</f>
        <v>1.6482815999999996</v>
      </c>
    </row>
    <row r="56" spans="12:24" x14ac:dyDescent="0.35">
      <c r="L56" s="1">
        <f t="shared" si="5"/>
        <v>5.4999999999999973</v>
      </c>
      <c r="M56" s="1">
        <f t="shared" si="1"/>
        <v>1.7293499999999993</v>
      </c>
      <c r="W56" s="4">
        <f t="shared" si="7"/>
        <v>5.299999999999998</v>
      </c>
      <c r="X56" s="4">
        <f>($X$6+($Y$6*(W56-$W$6))+($Z$6*(W56-$W$6)*(W56-$W$7))+($AA$6*(W56-$W$6)*(W56-$W$7)*(W56-$W$8)))</f>
        <v>1.6669079</v>
      </c>
    </row>
    <row r="57" spans="12:24" x14ac:dyDescent="0.35">
      <c r="L57" s="1">
        <f t="shared" si="5"/>
        <v>5.599999999999997</v>
      </c>
      <c r="M57" s="1">
        <f t="shared" si="1"/>
        <v>1.7439519999999997</v>
      </c>
      <c r="W57" s="4">
        <f t="shared" si="7"/>
        <v>5.3999999999999977</v>
      </c>
      <c r="X57" s="4">
        <f>($X$6+($Y$6*(W57-$W$6))+($Z$6*(W57-$W$6)*(W57-$W$7))+($AA$6*(W57-$W$6)*(W57-$W$7)*(W57-$W$8)))</f>
        <v>1.6852527999999996</v>
      </c>
    </row>
    <row r="58" spans="12:24" x14ac:dyDescent="0.35">
      <c r="L58" s="1">
        <f t="shared" si="5"/>
        <v>5.6999999999999966</v>
      </c>
      <c r="M58" s="1">
        <f t="shared" si="1"/>
        <v>1.7575179999999997</v>
      </c>
      <c r="W58" s="4">
        <f t="shared" si="7"/>
        <v>5.4999999999999973</v>
      </c>
      <c r="X58" s="4">
        <f>($X$6+($Y$6*(W58-$W$6))+($Z$6*(W58-$W$6)*(W58-$W$7))+($AA$6*(W58-$W$6)*(W58-$W$7)*(W58-$W$8)))</f>
        <v>1.7033624999999992</v>
      </c>
    </row>
    <row r="59" spans="12:24" x14ac:dyDescent="0.35">
      <c r="L59" s="1">
        <f t="shared" si="5"/>
        <v>5.7999999999999963</v>
      </c>
      <c r="M59" s="1">
        <f t="shared" si="1"/>
        <v>1.7700479999999996</v>
      </c>
      <c r="W59" s="4">
        <f t="shared" si="7"/>
        <v>5.599999999999997</v>
      </c>
      <c r="X59" s="4">
        <f>($X$6+($Y$6*(W59-$W$6))+($Z$6*(W59-$W$6)*(W59-$W$7))+($AA$6*(W59-$W$6)*(W59-$W$7)*(W59-$W$8)))</f>
        <v>1.7212831999999998</v>
      </c>
    </row>
    <row r="60" spans="12:24" x14ac:dyDescent="0.35">
      <c r="L60" s="1">
        <f t="shared" si="5"/>
        <v>5.8999999999999959</v>
      </c>
      <c r="M60" s="1">
        <f t="shared" si="1"/>
        <v>1.7815419999999997</v>
      </c>
      <c r="W60" s="4">
        <f t="shared" si="7"/>
        <v>5.6999999999999966</v>
      </c>
      <c r="X60" s="4">
        <f>($X$6+($Y$6*(W60-$W$6))+($Z$6*(W60-$W$6)*(W60-$W$7))+($AA$6*(W60-$W$6)*(W60-$W$7)*(W60-$W$8)))</f>
        <v>1.7390610999999996</v>
      </c>
    </row>
    <row r="61" spans="12:24" x14ac:dyDescent="0.35">
      <c r="L61" s="1">
        <f t="shared" si="5"/>
        <v>5.9999999999999956</v>
      </c>
      <c r="M61" s="1">
        <f t="shared" si="1"/>
        <v>1.7919999999999996</v>
      </c>
      <c r="W61" s="4">
        <f t="shared" si="7"/>
        <v>5.7999999999999963</v>
      </c>
      <c r="X61" s="4">
        <f>($X$6+($Y$6*(W61-$W$6))+($Z$6*(W61-$W$6)*(W61-$W$7))+($AA$6*(W61-$W$6)*(W61-$W$7)*(W61-$W$8)))</f>
        <v>1.7567423999999996</v>
      </c>
    </row>
    <row r="62" spans="12:24" x14ac:dyDescent="0.35">
      <c r="W62" s="4">
        <f t="shared" si="7"/>
        <v>5.8999999999999959</v>
      </c>
      <c r="X62" s="4">
        <f>($X$6+($Y$6*(W62-$W$6))+($Z$6*(W62-$W$6)*(W62-$W$7))+($AA$6*(W62-$W$6)*(W62-$W$7)*(W62-$W$8)))</f>
        <v>1.7743732999999993</v>
      </c>
    </row>
    <row r="63" spans="12:24" x14ac:dyDescent="0.35">
      <c r="W63" s="4">
        <f t="shared" si="7"/>
        <v>5.9999999999999956</v>
      </c>
      <c r="X63" s="4">
        <f>($X$6+($Y$6*(W63-$W$6))+($Z$6*(W63-$W$6)*(W63-$W$7))+($AA$6*(W63-$W$6)*(W63-$W$7)*(W63-$W$8)))</f>
        <v>1.7919999999999994</v>
      </c>
    </row>
  </sheetData>
  <mergeCells count="4">
    <mergeCell ref="B2:D2"/>
    <mergeCell ref="B4:E4"/>
    <mergeCell ref="K4:O4"/>
    <mergeCell ref="V4:AA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marr.rrrrr05@gmail.com</cp:lastModifiedBy>
  <dcterms:created xsi:type="dcterms:W3CDTF">2026-10-16T07:42:14Z</dcterms:created>
  <dcterms:modified xsi:type="dcterms:W3CDTF">2026-10-16T13:08:10Z</dcterms:modified>
</cp:coreProperties>
</file>