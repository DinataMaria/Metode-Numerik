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ia\Github\Metode-Numerik\"/>
    </mc:Choice>
  </mc:AlternateContent>
  <xr:revisionPtr revIDLastSave="0" documentId="8_{C89F6476-F421-49E8-B8F3-F4ED05F91916}" xr6:coauthVersionLast="47" xr6:coauthVersionMax="47" xr10:uidLastSave="{00000000-0000-0000-0000-000000000000}"/>
  <bookViews>
    <workbookView xWindow="-110" yWindow="-110" windowWidth="19420" windowHeight="10300" xr2:uid="{94FCD8C2-7E8B-4EF5-86D5-EE480A84D8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6" i="1" l="1"/>
  <c r="AZ6" i="1" s="1"/>
  <c r="AX5" i="1"/>
  <c r="AZ5" i="1" s="1"/>
  <c r="AW6" i="1"/>
  <c r="AY6" i="1" s="1"/>
  <c r="AV6" i="1"/>
  <c r="AV5" i="1"/>
  <c r="AI5" i="1"/>
  <c r="AJ5" i="1" s="1"/>
  <c r="W5" i="1"/>
  <c r="V5" i="1"/>
  <c r="I5" i="1"/>
  <c r="H5" i="1"/>
  <c r="AU7" i="1" l="1"/>
  <c r="X5" i="1"/>
  <c r="Y5" i="1"/>
  <c r="Z5" i="1" s="1"/>
  <c r="AB5" i="1"/>
  <c r="M5" i="1"/>
  <c r="J5" i="1"/>
  <c r="K5" i="1" s="1"/>
  <c r="AK5" i="1"/>
  <c r="AI6" i="1" s="1"/>
  <c r="AM5" i="1"/>
  <c r="AV7" i="1" l="1"/>
  <c r="AU8" i="1" s="1"/>
  <c r="AW7" i="1"/>
  <c r="AY7" i="1" s="1"/>
  <c r="AX7" i="1"/>
  <c r="AZ7" i="1" s="1"/>
  <c r="T6" i="1"/>
  <c r="U6" i="1"/>
  <c r="W6" i="1" s="1"/>
  <c r="G6" i="1"/>
  <c r="F6" i="1"/>
  <c r="AK6" i="1"/>
  <c r="AJ6" i="1"/>
  <c r="AM6" i="1"/>
  <c r="AL6" i="1"/>
  <c r="AI7" i="1"/>
  <c r="AX8" i="1" l="1"/>
  <c r="AZ8" i="1" s="1"/>
  <c r="AW8" i="1"/>
  <c r="AY8" i="1" s="1"/>
  <c r="AV8" i="1"/>
  <c r="AU9" i="1" s="1"/>
  <c r="V6" i="1"/>
  <c r="X6" i="1" s="1"/>
  <c r="H6" i="1"/>
  <c r="I6" i="1"/>
  <c r="AJ7" i="1"/>
  <c r="AK7" i="1"/>
  <c r="AL7" i="1"/>
  <c r="AM7" i="1"/>
  <c r="AW9" i="1" l="1"/>
  <c r="AY9" i="1" s="1"/>
  <c r="AV9" i="1"/>
  <c r="AU10" i="1" s="1"/>
  <c r="AX9" i="1"/>
  <c r="AZ9" i="1" s="1"/>
  <c r="AI8" i="1"/>
  <c r="AB6" i="1"/>
  <c r="AA6" i="1"/>
  <c r="Y6" i="1"/>
  <c r="Z6" i="1" s="1"/>
  <c r="L6" i="1"/>
  <c r="M6" i="1"/>
  <c r="J6" i="1"/>
  <c r="K6" i="1" s="1"/>
  <c r="AV10" i="1" l="1"/>
  <c r="AW10" i="1"/>
  <c r="AY10" i="1" s="1"/>
  <c r="AX10" i="1"/>
  <c r="AZ10" i="1" s="1"/>
  <c r="AL8" i="1"/>
  <c r="AK8" i="1"/>
  <c r="AJ8" i="1"/>
  <c r="AI9" i="1" s="1"/>
  <c r="AM8" i="1"/>
  <c r="U7" i="1"/>
  <c r="W7" i="1" s="1"/>
  <c r="T7" i="1"/>
  <c r="G7" i="1"/>
  <c r="F7" i="1"/>
  <c r="AL9" i="1" l="1"/>
  <c r="AJ9" i="1"/>
  <c r="AK9" i="1"/>
  <c r="AM9" i="1"/>
  <c r="V7" i="1"/>
  <c r="X7" i="1" s="1"/>
  <c r="H7" i="1"/>
  <c r="I7" i="1"/>
  <c r="AA7" i="1" l="1"/>
  <c r="AB7" i="1"/>
  <c r="Y7" i="1"/>
  <c r="Z7" i="1" s="1"/>
  <c r="L7" i="1"/>
  <c r="M7" i="1"/>
  <c r="J7" i="1"/>
  <c r="K7" i="1" s="1"/>
  <c r="T8" i="1" l="1"/>
  <c r="U8" i="1"/>
  <c r="W8" i="1" s="1"/>
  <c r="G8" i="1"/>
  <c r="F8" i="1"/>
  <c r="V8" i="1" l="1"/>
  <c r="X8" i="1" s="1"/>
  <c r="H8" i="1"/>
  <c r="I8" i="1"/>
  <c r="AB8" i="1" l="1"/>
  <c r="AA8" i="1"/>
  <c r="Y8" i="1"/>
  <c r="Z8" i="1" s="1"/>
  <c r="T9" i="1" s="1"/>
  <c r="U9" i="1"/>
  <c r="W9" i="1" s="1"/>
  <c r="M8" i="1"/>
  <c r="L8" i="1"/>
  <c r="J8" i="1"/>
  <c r="K8" i="1" s="1"/>
  <c r="V9" i="1" l="1"/>
  <c r="X9" i="1" s="1"/>
  <c r="G9" i="1"/>
  <c r="F9" i="1"/>
  <c r="AB9" i="1" l="1"/>
  <c r="AA9" i="1"/>
  <c r="Y9" i="1"/>
  <c r="Z9" i="1" s="1"/>
  <c r="H9" i="1"/>
  <c r="I9" i="1"/>
  <c r="T10" i="1" l="1"/>
  <c r="U10" i="1"/>
  <c r="W10" i="1" s="1"/>
  <c r="M9" i="1"/>
  <c r="J9" i="1"/>
  <c r="K9" i="1" s="1"/>
  <c r="L9" i="1"/>
  <c r="V10" i="1" l="1"/>
  <c r="X10" i="1" s="1"/>
  <c r="F10" i="1"/>
  <c r="G10" i="1"/>
  <c r="AB10" i="1" l="1"/>
  <c r="AA10" i="1"/>
  <c r="Y10" i="1"/>
  <c r="Z10" i="1" s="1"/>
  <c r="U11" i="1"/>
  <c r="W11" i="1" s="1"/>
  <c r="T11" i="1"/>
  <c r="H10" i="1"/>
  <c r="I10" i="1"/>
  <c r="V11" i="1" l="1"/>
  <c r="X11" i="1" s="1"/>
  <c r="L10" i="1"/>
  <c r="M10" i="1"/>
  <c r="J10" i="1"/>
  <c r="K10" i="1" s="1"/>
  <c r="AB11" i="1" l="1"/>
  <c r="AA11" i="1"/>
  <c r="Y11" i="1"/>
  <c r="Z11" i="1" s="1"/>
  <c r="F11" i="1"/>
  <c r="G11" i="1"/>
  <c r="H11" i="1" l="1"/>
  <c r="I11" i="1"/>
  <c r="L11" i="1" l="1"/>
  <c r="M11" i="1"/>
  <c r="J11" i="1"/>
  <c r="K11" i="1" s="1"/>
  <c r="F12" i="1" l="1"/>
  <c r="G12" i="1"/>
  <c r="H12" i="1" l="1"/>
  <c r="I12" i="1"/>
  <c r="M12" i="1" l="1"/>
  <c r="L12" i="1"/>
  <c r="J12" i="1"/>
  <c r="K12" i="1" s="1"/>
  <c r="G13" i="1" l="1"/>
  <c r="F13" i="1"/>
  <c r="H13" i="1" l="1"/>
  <c r="I13" i="1"/>
  <c r="M13" i="1" l="1"/>
  <c r="L13" i="1"/>
  <c r="J13" i="1"/>
  <c r="K13" i="1" s="1"/>
  <c r="G14" i="1" l="1"/>
  <c r="F14" i="1"/>
  <c r="H14" i="1" l="1"/>
  <c r="I14" i="1"/>
  <c r="M14" i="1" l="1"/>
  <c r="L14" i="1"/>
  <c r="J14" i="1"/>
  <c r="K14" i="1" s="1"/>
  <c r="G15" i="1" l="1"/>
  <c r="F15" i="1"/>
  <c r="H15" i="1" l="1"/>
  <c r="I15" i="1"/>
  <c r="M15" i="1" l="1"/>
  <c r="L15" i="1"/>
  <c r="J15" i="1"/>
  <c r="K15" i="1" s="1"/>
  <c r="F16" i="1" l="1"/>
  <c r="G16" i="1"/>
  <c r="H16" i="1" l="1"/>
  <c r="I16" i="1"/>
  <c r="M16" i="1" l="1"/>
  <c r="L16" i="1"/>
  <c r="J16" i="1"/>
  <c r="K16" i="1" s="1"/>
  <c r="G17" i="1" l="1"/>
  <c r="F17" i="1"/>
  <c r="H17" i="1" l="1"/>
  <c r="I17" i="1"/>
  <c r="L17" i="1" l="1"/>
  <c r="M17" i="1"/>
  <c r="J17" i="1"/>
  <c r="K17" i="1" s="1"/>
  <c r="G18" i="1" l="1"/>
  <c r="F18" i="1"/>
  <c r="H18" i="1" l="1"/>
  <c r="I18" i="1"/>
  <c r="L18" i="1" l="1"/>
  <c r="M18" i="1"/>
  <c r="J18" i="1"/>
  <c r="K18" i="1" s="1"/>
  <c r="F19" i="1" l="1"/>
  <c r="G19" i="1"/>
  <c r="H19" i="1" l="1"/>
  <c r="I19" i="1"/>
  <c r="L19" i="1" l="1"/>
  <c r="M19" i="1"/>
  <c r="J19" i="1"/>
  <c r="K19" i="1" s="1"/>
  <c r="G20" i="1" l="1"/>
  <c r="F20" i="1"/>
  <c r="H20" i="1" l="1"/>
  <c r="I20" i="1"/>
  <c r="L20" i="1" l="1"/>
  <c r="M20" i="1"/>
  <c r="J20" i="1"/>
  <c r="K20" i="1" s="1"/>
  <c r="F21" i="1" l="1"/>
  <c r="G21" i="1"/>
  <c r="H21" i="1" l="1"/>
  <c r="I21" i="1"/>
  <c r="L21" i="1" l="1"/>
  <c r="M21" i="1"/>
  <c r="J21" i="1"/>
  <c r="K21" i="1" s="1"/>
  <c r="F22" i="1" l="1"/>
  <c r="G22" i="1"/>
  <c r="H22" i="1" l="1"/>
  <c r="I22" i="1"/>
  <c r="L22" i="1" l="1"/>
  <c r="M22" i="1"/>
  <c r="J22" i="1"/>
  <c r="K22" i="1" s="1"/>
  <c r="G23" i="1" l="1"/>
  <c r="F23" i="1"/>
  <c r="H23" i="1" l="1"/>
  <c r="I23" i="1"/>
  <c r="M23" i="1" l="1"/>
  <c r="L23" i="1"/>
  <c r="J23" i="1"/>
  <c r="K23" i="1" s="1"/>
  <c r="G24" i="1" l="1"/>
  <c r="F24" i="1"/>
  <c r="H24" i="1" l="1"/>
  <c r="I24" i="1"/>
  <c r="M24" i="1" l="1"/>
  <c r="L24" i="1"/>
  <c r="J24" i="1"/>
  <c r="K24" i="1" s="1"/>
  <c r="G25" i="1" l="1"/>
  <c r="F25" i="1"/>
  <c r="H25" i="1" l="1"/>
  <c r="I25" i="1"/>
  <c r="L25" i="1" l="1"/>
  <c r="M25" i="1"/>
  <c r="J25" i="1"/>
  <c r="K25" i="1" s="1"/>
  <c r="G26" i="1" l="1"/>
  <c r="F26" i="1"/>
  <c r="H26" i="1" l="1"/>
  <c r="I26" i="1"/>
  <c r="M26" i="1" l="1"/>
  <c r="J26" i="1"/>
  <c r="K26" i="1" s="1"/>
  <c r="L26" i="1"/>
  <c r="G27" i="1" l="1"/>
  <c r="F27" i="1"/>
  <c r="H27" i="1" l="1"/>
  <c r="I27" i="1"/>
  <c r="L27" i="1" l="1"/>
  <c r="M27" i="1"/>
  <c r="J27" i="1"/>
  <c r="K27" i="1" s="1"/>
  <c r="G28" i="1" l="1"/>
  <c r="F28" i="1"/>
  <c r="I28" i="1" l="1"/>
  <c r="H28" i="1"/>
  <c r="J28" i="1" l="1"/>
  <c r="K28" i="1" s="1"/>
  <c r="M28" i="1"/>
  <c r="L28" i="1"/>
  <c r="F29" i="1" l="1"/>
  <c r="G29" i="1"/>
  <c r="I29" i="1" l="1"/>
  <c r="H29" i="1"/>
  <c r="M29" i="1" l="1"/>
  <c r="L29" i="1"/>
  <c r="J29" i="1"/>
  <c r="K29" i="1" s="1"/>
  <c r="F30" i="1" l="1"/>
  <c r="G30" i="1"/>
  <c r="I30" i="1" l="1"/>
  <c r="H30" i="1"/>
  <c r="L30" i="1" l="1"/>
  <c r="M30" i="1"/>
  <c r="J30" i="1"/>
  <c r="K30" i="1" s="1"/>
  <c r="F31" i="1" l="1"/>
  <c r="G31" i="1"/>
  <c r="I31" i="1" l="1"/>
  <c r="H31" i="1"/>
  <c r="J31" i="1" l="1"/>
  <c r="K31" i="1" s="1"/>
  <c r="L31" i="1"/>
  <c r="M31" i="1"/>
  <c r="F32" i="1" l="1"/>
  <c r="G32" i="1"/>
  <c r="I32" i="1" l="1"/>
  <c r="H32" i="1"/>
  <c r="L32" i="1" l="1"/>
  <c r="J32" i="1"/>
  <c r="K32" i="1" s="1"/>
  <c r="M32" i="1"/>
  <c r="F33" i="1" l="1"/>
  <c r="G33" i="1"/>
  <c r="I33" i="1" l="1"/>
  <c r="H33" i="1"/>
  <c r="L33" i="1" l="1"/>
  <c r="J33" i="1"/>
  <c r="K33" i="1" s="1"/>
  <c r="M33" i="1"/>
  <c r="G34" i="1" l="1"/>
  <c r="F34" i="1"/>
  <c r="I34" i="1" l="1"/>
  <c r="H34" i="1"/>
  <c r="L34" i="1" l="1"/>
  <c r="J34" i="1"/>
  <c r="K34" i="1" s="1"/>
  <c r="M34" i="1"/>
  <c r="F35" i="1" l="1"/>
  <c r="G35" i="1"/>
  <c r="I35" i="1" l="1"/>
  <c r="H35" i="1"/>
  <c r="L35" i="1" l="1"/>
  <c r="M35" i="1"/>
  <c r="J35" i="1"/>
  <c r="K35" i="1" s="1"/>
  <c r="F36" i="1" l="1"/>
  <c r="G36" i="1"/>
  <c r="H36" i="1" l="1"/>
  <c r="I36" i="1"/>
  <c r="M36" i="1" l="1"/>
  <c r="L36" i="1"/>
  <c r="J36" i="1"/>
  <c r="K36" i="1" s="1"/>
  <c r="G37" i="1" l="1"/>
  <c r="F37" i="1"/>
  <c r="H37" i="1" l="1"/>
  <c r="I37" i="1"/>
  <c r="M37" i="1" l="1"/>
  <c r="L37" i="1"/>
  <c r="J37" i="1"/>
  <c r="K37" i="1" s="1"/>
  <c r="G38" i="1" l="1"/>
  <c r="F38" i="1"/>
  <c r="I38" i="1" l="1"/>
  <c r="H38" i="1"/>
  <c r="M38" i="1" l="1"/>
  <c r="L38" i="1"/>
  <c r="J38" i="1"/>
  <c r="K38" i="1" s="1"/>
</calcChain>
</file>

<file path=xl/sharedStrings.xml><?xml version="1.0" encoding="utf-8"?>
<sst xmlns="http://schemas.openxmlformats.org/spreadsheetml/2006/main" count="54" uniqueCount="30">
  <si>
    <t>Metode Bagi Dua</t>
  </si>
  <si>
    <t>f(x) = x^2 -3</t>
  </si>
  <si>
    <t>Interval</t>
  </si>
  <si>
    <t>(1,2)</t>
  </si>
  <si>
    <t>S.Eksak</t>
  </si>
  <si>
    <t>a</t>
  </si>
  <si>
    <t>b</t>
  </si>
  <si>
    <t>x_n</t>
  </si>
  <si>
    <t>f(a)</t>
  </si>
  <si>
    <t>f(x_n)</t>
  </si>
  <si>
    <t>f(a).f(x_n)</t>
  </si>
  <si>
    <t>Iterasi</t>
  </si>
  <si>
    <t>G hampiran</t>
  </si>
  <si>
    <t>G Biasa</t>
  </si>
  <si>
    <t>Metode Posisi Palsu</t>
  </si>
  <si>
    <t>f(b)</t>
  </si>
  <si>
    <t>G Hampiran</t>
  </si>
  <si>
    <t>f(a)(f(x_n))</t>
  </si>
  <si>
    <t>f(x)=x^2-3</t>
  </si>
  <si>
    <t>f'(x)=2x</t>
  </si>
  <si>
    <t>x_0</t>
  </si>
  <si>
    <t>f'(x_n)</t>
  </si>
  <si>
    <t>Metode Newton</t>
  </si>
  <si>
    <t>n-1</t>
  </si>
  <si>
    <t>n</t>
  </si>
  <si>
    <t>n+1</t>
  </si>
  <si>
    <t>Metode Secant</t>
  </si>
  <si>
    <t>G. Hampiran (%)</t>
  </si>
  <si>
    <t>G.Biasa (%)</t>
  </si>
  <si>
    <t>Praktikum 1 - Metode Numerik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</si>
</sst>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00"/>
    <numFmt numFmtId="166" formatCode="0.000000"/>
    <numFmt numFmtId="167" formatCode="#,##0.000"/>
    <numFmt numFmtId="168" formatCode="0.0000000"/>
    <numFmt numFmtId="169" formatCode="0.0000000000"/>
    <numFmt numFmtId="170" formatCode="0.0E+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masis MT Pro Black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5" xfId="0" applyFill="1" applyBorder="1"/>
    <xf numFmtId="164" fontId="0" fillId="0" borderId="1" xfId="0" applyNumberFormat="1" applyBorder="1"/>
    <xf numFmtId="166" fontId="0" fillId="0" borderId="1" xfId="0" applyNumberFormat="1" applyBorder="1"/>
    <xf numFmtId="168" fontId="0" fillId="0" borderId="1" xfId="0" applyNumberFormat="1" applyBorder="1"/>
    <xf numFmtId="165" fontId="0" fillId="0" borderId="1" xfId="0" applyNumberFormat="1" applyBorder="1"/>
    <xf numFmtId="170" fontId="0" fillId="0" borderId="1" xfId="0" applyNumberFormat="1" applyBorder="1"/>
    <xf numFmtId="169" fontId="0" fillId="0" borderId="1" xfId="0" applyNumberFormat="1" applyBorder="1"/>
    <xf numFmtId="164" fontId="0" fillId="0" borderId="0" xfId="0" applyNumberFormat="1"/>
    <xf numFmtId="166" fontId="0" fillId="0" borderId="0" xfId="0" applyNumberFormat="1"/>
    <xf numFmtId="164" fontId="0" fillId="4" borderId="1" xfId="0" applyNumberFormat="1" applyFill="1" applyBorder="1"/>
    <xf numFmtId="166" fontId="0" fillId="4" borderId="1" xfId="0" applyNumberForma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Metode Bagi Dua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Sheet1!$H$4</c:f>
              <c:strCache>
                <c:ptCount val="1"/>
                <c:pt idx="0">
                  <c:v>x_n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Sheet1!$H$5:$H$38</c:f>
              <c:numCache>
                <c:formatCode>General</c:formatCode>
                <c:ptCount val="34"/>
                <c:pt idx="0">
                  <c:v>1.5</c:v>
                </c:pt>
                <c:pt idx="1">
                  <c:v>1.75</c:v>
                </c:pt>
                <c:pt idx="2">
                  <c:v>1.625</c:v>
                </c:pt>
                <c:pt idx="3">
                  <c:v>1.6875</c:v>
                </c:pt>
                <c:pt idx="4">
                  <c:v>1.71875</c:v>
                </c:pt>
                <c:pt idx="5">
                  <c:v>1.734375</c:v>
                </c:pt>
                <c:pt idx="6">
                  <c:v>1.7265625</c:v>
                </c:pt>
                <c:pt idx="7">
                  <c:v>1.73046875</c:v>
                </c:pt>
                <c:pt idx="8">
                  <c:v>1.732421875</c:v>
                </c:pt>
                <c:pt idx="9">
                  <c:v>1.7314453125</c:v>
                </c:pt>
                <c:pt idx="10">
                  <c:v>1.73193359375</c:v>
                </c:pt>
                <c:pt idx="11">
                  <c:v>1.732177734375</c:v>
                </c:pt>
                <c:pt idx="12">
                  <c:v>1.7320556640625</c:v>
                </c:pt>
                <c:pt idx="13">
                  <c:v>1.73199462890625</c:v>
                </c:pt>
                <c:pt idx="14">
                  <c:v>1.732025146484375</c:v>
                </c:pt>
                <c:pt idx="15">
                  <c:v>1.7320404052734375</c:v>
                </c:pt>
                <c:pt idx="16">
                  <c:v>1.7320480346679688</c:v>
                </c:pt>
                <c:pt idx="17">
                  <c:v>1.7320518493652344</c:v>
                </c:pt>
                <c:pt idx="18">
                  <c:v>1.7320499420166016</c:v>
                </c:pt>
                <c:pt idx="19">
                  <c:v>1.732050895690918</c:v>
                </c:pt>
                <c:pt idx="20">
                  <c:v>1.7320504188537598</c:v>
                </c:pt>
                <c:pt idx="21">
                  <c:v>1.7320506572723389</c:v>
                </c:pt>
                <c:pt idx="22">
                  <c:v>1.7320507764816284</c:v>
                </c:pt>
                <c:pt idx="23">
                  <c:v>1.7320508360862732</c:v>
                </c:pt>
                <c:pt idx="24">
                  <c:v>1.7320508062839508</c:v>
                </c:pt>
                <c:pt idx="25">
                  <c:v>1.732050821185112</c:v>
                </c:pt>
                <c:pt idx="26">
                  <c:v>1.7320508137345314</c:v>
                </c:pt>
                <c:pt idx="27">
                  <c:v>1.7320508100092411</c:v>
                </c:pt>
                <c:pt idx="28">
                  <c:v>1.732050808146596</c:v>
                </c:pt>
                <c:pt idx="29">
                  <c:v>1.7320508072152734</c:v>
                </c:pt>
                <c:pt idx="30">
                  <c:v>1.7320508076809347</c:v>
                </c:pt>
                <c:pt idx="31">
                  <c:v>1.732050807448104</c:v>
                </c:pt>
                <c:pt idx="32">
                  <c:v>1.7320508075645193</c:v>
                </c:pt>
                <c:pt idx="33">
                  <c:v>1.732050807622727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1F-4EDD-B842-BB48FC1BF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438560"/>
        <c:axId val="1432001488"/>
      </c:scatterChart>
      <c:valAx>
        <c:axId val="143843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001488"/>
        <c:crosses val="autoZero"/>
        <c:crossBetween val="midCat"/>
      </c:valAx>
      <c:valAx>
        <c:axId val="143200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43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Metode Posisi Palsu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Sheet1!$X$4</c:f>
              <c:strCache>
                <c:ptCount val="1"/>
                <c:pt idx="0">
                  <c:v>x_n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Sheet1!$X$5:$X$11</c:f>
              <c:numCache>
                <c:formatCode>General</c:formatCode>
                <c:ptCount val="7"/>
                <c:pt idx="0">
                  <c:v>1.6666666666666665</c:v>
                </c:pt>
                <c:pt idx="1">
                  <c:v>1.7272727272727273</c:v>
                </c:pt>
                <c:pt idx="2">
                  <c:v>1.7317073170731707</c:v>
                </c:pt>
                <c:pt idx="3">
                  <c:v>1.7320261437908497</c:v>
                </c:pt>
                <c:pt idx="4">
                  <c:v>1.7320490367775832</c:v>
                </c:pt>
                <c:pt idx="5">
                  <c:v>1.7320506804317222</c:v>
                </c:pt>
                <c:pt idx="6">
                  <c:v>1.73205079844084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68-4296-AA0D-6FD426243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717792"/>
        <c:axId val="1542720736"/>
      </c:scatterChart>
      <c:valAx>
        <c:axId val="157671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720736"/>
        <c:crosses val="autoZero"/>
        <c:crossBetween val="midCat"/>
      </c:valAx>
      <c:valAx>
        <c:axId val="154272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71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Metode Newton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Sheet1!$AI$4</c:f>
              <c:strCache>
                <c:ptCount val="1"/>
                <c:pt idx="0">
                  <c:v>x_n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Sheet1!$AI$5:$AI$9</c:f>
              <c:numCache>
                <c:formatCode>General</c:formatCode>
                <c:ptCount val="5"/>
                <c:pt idx="0">
                  <c:v>1.5</c:v>
                </c:pt>
                <c:pt idx="1">
                  <c:v>1.75</c:v>
                </c:pt>
                <c:pt idx="2">
                  <c:v>1.7321428571428572</c:v>
                </c:pt>
                <c:pt idx="3">
                  <c:v>1.7320508100147276</c:v>
                </c:pt>
                <c:pt idx="4">
                  <c:v>1.7320508075688772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57-47FC-9919-2893B3936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926688"/>
        <c:axId val="1578364080"/>
      </c:scatterChart>
      <c:valAx>
        <c:axId val="155092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364080"/>
        <c:crosses val="autoZero"/>
        <c:crossBetween val="midCat"/>
      </c:valAx>
      <c:valAx>
        <c:axId val="157836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26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676275</xdr:colOff>
      <xdr:row>39</xdr:row>
      <xdr:rowOff>4762</xdr:rowOff>
    </xdr:from>
    <xdr:to>
      <xdr:col>11</xdr:col>
      <xdr:colOff>285750</xdr:colOff>
      <xdr:row>53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AD340C-4578-4534-83E7-85F57EB60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581025</xdr:colOff>
      <xdr:row>12</xdr:row>
      <xdr:rowOff>23812</xdr:rowOff>
    </xdr:from>
    <xdr:to>
      <xdr:col>26</xdr:col>
      <xdr:colOff>695325</xdr:colOff>
      <xdr:row>26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3EF122-7229-4D37-952A-6FCAFB00E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600075</xdr:colOff>
      <xdr:row>12</xdr:row>
      <xdr:rowOff>147637</xdr:rowOff>
    </xdr:from>
    <xdr:to>
      <xdr:col>38</xdr:col>
      <xdr:colOff>609600</xdr:colOff>
      <xdr:row>27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172A5B-DC5B-492C-A589-5BE098ABF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F2D09-9940-4FC4-8685-7CE550E0379C}">
  <dimension ref="A2:AZ41"/>
  <sheetViews>
    <sheetView tabSelected="1" topLeftCell="F1" zoomScale="72" zoomScaleNormal="46" workbookViewId="0">
      <selection activeCell="T18" sqref="T18"/>
    </sheetView>
  </sheetViews>
  <sheetFormatPr defaultRowHeight="14.5" x14ac:dyDescent="0.35"/>
  <cols>
    <col min="5" max="5" width="9.26953125" style="1" bestFit="1" customWidth="1"/>
    <col min="6" max="6" width="11" customWidth="1"/>
    <col min="7" max="7" width="9.1796875" customWidth="1"/>
    <col min="8" max="8" width="12.7265625" customWidth="1"/>
    <col min="9" max="9" width="13.54296875" customWidth="1"/>
    <col min="10" max="10" width="14.54296875" customWidth="1"/>
    <col min="11" max="11" width="13.453125" customWidth="1"/>
    <col min="12" max="12" width="14.26953125" customWidth="1"/>
    <col min="13" max="13" width="14.1796875" customWidth="1"/>
    <col min="19" max="19" width="9.26953125" style="1" bestFit="1" customWidth="1"/>
    <col min="20" max="21" width="8.81640625" bestFit="1" customWidth="1"/>
    <col min="22" max="22" width="12.81640625" bestFit="1" customWidth="1"/>
    <col min="23" max="24" width="8.81640625" bestFit="1" customWidth="1"/>
    <col min="25" max="25" width="12.81640625" bestFit="1" customWidth="1"/>
    <col min="26" max="26" width="12" customWidth="1"/>
    <col min="27" max="27" width="12.453125" customWidth="1"/>
    <col min="28" max="28" width="11.1796875" customWidth="1"/>
    <col min="34" max="34" width="9.1796875" style="1"/>
    <col min="38" max="38" width="13.54296875" customWidth="1"/>
    <col min="39" max="39" width="12.1796875" customWidth="1"/>
    <col min="48" max="48" width="11.1796875" customWidth="1"/>
    <col min="49" max="49" width="12.453125" customWidth="1"/>
    <col min="50" max="50" width="11.1796875" customWidth="1"/>
    <col min="51" max="51" width="16.36328125" style="1" customWidth="1"/>
    <col min="52" max="52" width="11.453125" style="1" customWidth="1"/>
  </cols>
  <sheetData>
    <row r="2" spans="1:52" ht="24.5" x14ac:dyDescent="0.65">
      <c r="A2" s="30" t="s">
        <v>29</v>
      </c>
    </row>
    <row r="4" spans="1:52" x14ac:dyDescent="0.35">
      <c r="A4" s="26" t="s">
        <v>0</v>
      </c>
      <c r="B4" s="26"/>
      <c r="C4" s="26"/>
      <c r="D4" s="26"/>
      <c r="E4" s="27" t="s">
        <v>11</v>
      </c>
      <c r="F4" s="27" t="s">
        <v>5</v>
      </c>
      <c r="G4" s="27" t="s">
        <v>6</v>
      </c>
      <c r="H4" s="27" t="s">
        <v>7</v>
      </c>
      <c r="I4" s="27" t="s">
        <v>8</v>
      </c>
      <c r="J4" s="27" t="s">
        <v>9</v>
      </c>
      <c r="K4" s="27" t="s">
        <v>10</v>
      </c>
      <c r="L4" s="27" t="s">
        <v>12</v>
      </c>
      <c r="M4" s="27" t="s">
        <v>13</v>
      </c>
      <c r="O4" s="26" t="s">
        <v>14</v>
      </c>
      <c r="P4" s="26"/>
      <c r="Q4" s="26"/>
      <c r="R4" s="26"/>
      <c r="S4" s="27" t="s">
        <v>11</v>
      </c>
      <c r="T4" s="27" t="s">
        <v>5</v>
      </c>
      <c r="U4" s="27" t="s">
        <v>6</v>
      </c>
      <c r="V4" s="27" t="s">
        <v>8</v>
      </c>
      <c r="W4" s="27" t="s">
        <v>15</v>
      </c>
      <c r="X4" s="27" t="s">
        <v>7</v>
      </c>
      <c r="Y4" s="27" t="s">
        <v>9</v>
      </c>
      <c r="Z4" s="27" t="s">
        <v>17</v>
      </c>
      <c r="AA4" s="27" t="s">
        <v>16</v>
      </c>
      <c r="AB4" s="27" t="s">
        <v>13</v>
      </c>
      <c r="AD4" s="26" t="s">
        <v>22</v>
      </c>
      <c r="AE4" s="26"/>
      <c r="AF4" s="26"/>
      <c r="AG4" s="26"/>
      <c r="AH4" s="27" t="s">
        <v>11</v>
      </c>
      <c r="AI4" s="27" t="s">
        <v>7</v>
      </c>
      <c r="AJ4" s="27" t="s">
        <v>9</v>
      </c>
      <c r="AK4" s="27" t="s">
        <v>21</v>
      </c>
      <c r="AL4" s="27" t="s">
        <v>16</v>
      </c>
      <c r="AM4" s="27" t="s">
        <v>13</v>
      </c>
      <c r="AO4" s="26" t="s">
        <v>26</v>
      </c>
      <c r="AP4" s="26"/>
      <c r="AQ4" s="26"/>
      <c r="AR4" s="28"/>
      <c r="AS4" s="27"/>
      <c r="AT4" s="27" t="s">
        <v>11</v>
      </c>
      <c r="AU4" s="27" t="s">
        <v>7</v>
      </c>
      <c r="AV4" s="27" t="s">
        <v>9</v>
      </c>
      <c r="AW4" s="27" t="s">
        <v>16</v>
      </c>
      <c r="AX4" s="27" t="s">
        <v>13</v>
      </c>
      <c r="AY4" s="27" t="s">
        <v>27</v>
      </c>
      <c r="AZ4" s="27" t="s">
        <v>28</v>
      </c>
    </row>
    <row r="5" spans="1:52" x14ac:dyDescent="0.35">
      <c r="A5" s="20" t="s">
        <v>1</v>
      </c>
      <c r="B5" s="25"/>
      <c r="C5" s="25"/>
      <c r="D5" s="21"/>
      <c r="E5" s="3">
        <v>0</v>
      </c>
      <c r="F5" s="3">
        <v>1</v>
      </c>
      <c r="G5" s="3">
        <v>2</v>
      </c>
      <c r="H5" s="4">
        <f>(F5+G5)/2</f>
        <v>1.5</v>
      </c>
      <c r="I5" s="3">
        <f>(F5)^2-3</f>
        <v>-2</v>
      </c>
      <c r="J5" s="3">
        <f>(H5)^2-3</f>
        <v>-0.75</v>
      </c>
      <c r="K5" s="2">
        <f>(I5)*(J5)</f>
        <v>1.5</v>
      </c>
      <c r="L5" s="2"/>
      <c r="M5" s="2">
        <f>ABS(($C$7-H5)/$C$7)</f>
        <v>0.13394919168591224</v>
      </c>
      <c r="O5" s="19" t="s">
        <v>1</v>
      </c>
      <c r="P5" s="19"/>
      <c r="Q5" s="19"/>
      <c r="R5" s="20"/>
      <c r="S5" s="3">
        <v>0</v>
      </c>
      <c r="T5" s="2">
        <v>1</v>
      </c>
      <c r="U5" s="2">
        <v>2</v>
      </c>
      <c r="V5" s="2">
        <f>T5^2-3</f>
        <v>-2</v>
      </c>
      <c r="W5" s="2">
        <f>U5^2-3</f>
        <v>1</v>
      </c>
      <c r="X5" s="2">
        <f>T5-((U5-T5)/(W5-V5))*V5</f>
        <v>1.6666666666666665</v>
      </c>
      <c r="Y5" s="2">
        <f>X5^2-3</f>
        <v>-0.22222222222222276</v>
      </c>
      <c r="Z5" s="2">
        <f>V5*Y5</f>
        <v>0.44444444444444553</v>
      </c>
      <c r="AA5" s="2"/>
      <c r="AB5" s="2">
        <f>ABS(($Q$7-X5)/$Q$7)</f>
        <v>3.7721324095458121E-2</v>
      </c>
      <c r="AD5" s="19" t="s">
        <v>18</v>
      </c>
      <c r="AE5" s="19"/>
      <c r="AF5" s="19"/>
      <c r="AG5" s="20"/>
      <c r="AH5" s="3">
        <v>0</v>
      </c>
      <c r="AI5" s="2">
        <f>AF7</f>
        <v>1.5</v>
      </c>
      <c r="AJ5" s="2">
        <f>AI5^2-3</f>
        <v>-0.75</v>
      </c>
      <c r="AK5" s="2">
        <f>2*AI5</f>
        <v>3</v>
      </c>
      <c r="AL5" s="2"/>
      <c r="AM5" s="2">
        <f>ABS($AF$8-AI5)/$AF$8</f>
        <v>0.13394919168591224</v>
      </c>
      <c r="AO5" s="19" t="s">
        <v>18</v>
      </c>
      <c r="AP5" s="19"/>
      <c r="AQ5" s="19"/>
      <c r="AR5" s="20"/>
      <c r="AS5" s="2" t="s">
        <v>23</v>
      </c>
      <c r="AT5" s="2">
        <v>0</v>
      </c>
      <c r="AU5" s="2">
        <v>1</v>
      </c>
      <c r="AV5" s="2">
        <f>AU5^2-3</f>
        <v>-2</v>
      </c>
      <c r="AW5" s="2"/>
      <c r="AX5" s="2">
        <f>ABS($AQ$6-AU5)/$AQ$6</f>
        <v>0.42263279445727481</v>
      </c>
      <c r="AY5" s="29"/>
      <c r="AZ5" s="29">
        <f>AX5</f>
        <v>0.42263279445727481</v>
      </c>
    </row>
    <row r="6" spans="1:52" x14ac:dyDescent="0.35">
      <c r="A6" s="19" t="s">
        <v>2</v>
      </c>
      <c r="B6" s="19"/>
      <c r="C6" s="20" t="s">
        <v>3</v>
      </c>
      <c r="D6" s="21"/>
      <c r="E6" s="3">
        <v>1</v>
      </c>
      <c r="F6" s="3">
        <f>IF(K5&lt;0,F5,H5)</f>
        <v>1.5</v>
      </c>
      <c r="G6" s="3">
        <f>IF(K5&gt;0,G5,H5)</f>
        <v>2</v>
      </c>
      <c r="H6" s="4">
        <f>(F6+G6)/2</f>
        <v>1.75</v>
      </c>
      <c r="I6" s="3">
        <f>(F6)^2-3</f>
        <v>-0.75</v>
      </c>
      <c r="J6" s="3">
        <f>(H6)^2-3</f>
        <v>6.25E-2</v>
      </c>
      <c r="K6" s="2">
        <f>(I6)*(J6)</f>
        <v>-4.6875E-2</v>
      </c>
      <c r="L6" s="2">
        <f>ABS((H6-F6)/H6)</f>
        <v>0.14285714285714285</v>
      </c>
      <c r="M6" s="2">
        <f t="shared" ref="M6:M23" si="0">ABS(($C$7-H6)/$C$7)</f>
        <v>1.0392609699769063E-2</v>
      </c>
      <c r="O6" s="19" t="s">
        <v>2</v>
      </c>
      <c r="P6" s="19"/>
      <c r="Q6" s="19" t="s">
        <v>3</v>
      </c>
      <c r="R6" s="20"/>
      <c r="S6" s="3">
        <v>1</v>
      </c>
      <c r="T6" s="2">
        <f>IF(Z5&lt;0,T5,X5)</f>
        <v>1.6666666666666665</v>
      </c>
      <c r="U6" s="2">
        <f>IF(Z5&gt;0,U5,X5)</f>
        <v>2</v>
      </c>
      <c r="V6" s="2">
        <f>T6^2-3</f>
        <v>-0.22222222222222276</v>
      </c>
      <c r="W6" s="2">
        <f>U6^2-3</f>
        <v>1</v>
      </c>
      <c r="X6" s="2">
        <f>T6-((U6-T6)/(W6-V6))*V6</f>
        <v>1.7272727272727273</v>
      </c>
      <c r="Y6" s="2">
        <f>X6^2-3</f>
        <v>-1.6528925619834656E-2</v>
      </c>
      <c r="Z6" s="2">
        <f>V6*Y6</f>
        <v>3.6730945821854882E-3</v>
      </c>
      <c r="AA6" s="2">
        <f>ABS((X6-T6)/X6)</f>
        <v>3.5087719298245709E-2</v>
      </c>
      <c r="AB6" s="2">
        <f>ABS(($Q$7-X6)/$Q$7)</f>
        <v>2.7293722443837709E-3</v>
      </c>
      <c r="AD6" s="19" t="s">
        <v>19</v>
      </c>
      <c r="AE6" s="19"/>
      <c r="AF6" s="19"/>
      <c r="AG6" s="20"/>
      <c r="AH6" s="3">
        <v>1</v>
      </c>
      <c r="AI6" s="2">
        <f>AI5-(AJ5/AK5)</f>
        <v>1.75</v>
      </c>
      <c r="AJ6" s="2">
        <f>AI6^2-3</f>
        <v>6.25E-2</v>
      </c>
      <c r="AK6" s="2">
        <f>2*AI6</f>
        <v>3.5</v>
      </c>
      <c r="AL6" s="11">
        <f>ABS(AI6-AI5)/AI6</f>
        <v>0.14285714285714285</v>
      </c>
      <c r="AM6" s="2">
        <f>ABS($AF$8-AI6)/$AF$8</f>
        <v>1.0392609699769063E-2</v>
      </c>
      <c r="AO6" s="19" t="s">
        <v>4</v>
      </c>
      <c r="AP6" s="19"/>
      <c r="AQ6" s="19">
        <v>1.732</v>
      </c>
      <c r="AR6" s="20"/>
      <c r="AS6" s="2" t="s">
        <v>24</v>
      </c>
      <c r="AT6" s="2">
        <v>1</v>
      </c>
      <c r="AU6" s="2">
        <v>2</v>
      </c>
      <c r="AV6" s="2">
        <f>AU6^2-3</f>
        <v>1</v>
      </c>
      <c r="AW6" s="2">
        <f>ABS(AU6-AU5)/AU6</f>
        <v>0.5</v>
      </c>
      <c r="AX6" s="2">
        <f>ABS($AQ$6-AU6)/$AQ$6</f>
        <v>0.15473441108545036</v>
      </c>
      <c r="AY6" s="29">
        <f>AW6</f>
        <v>0.5</v>
      </c>
      <c r="AZ6" s="29">
        <f t="shared" ref="AZ6:AZ10" si="1">AX6</f>
        <v>0.15473441108545036</v>
      </c>
    </row>
    <row r="7" spans="1:52" x14ac:dyDescent="0.35">
      <c r="A7" s="19" t="s">
        <v>4</v>
      </c>
      <c r="B7" s="19"/>
      <c r="C7" s="22">
        <v>1.732</v>
      </c>
      <c r="D7" s="23"/>
      <c r="E7" s="3">
        <v>2</v>
      </c>
      <c r="F7" s="3">
        <f t="shared" ref="F7:F10" si="2">IF(K6&lt;0,F6,H6)</f>
        <v>1.5</v>
      </c>
      <c r="G7" s="3">
        <f t="shared" ref="G7:G12" si="3">IF(K6&gt;0,G6,H6)</f>
        <v>1.75</v>
      </c>
      <c r="H7" s="4">
        <f t="shared" ref="H7:H10" si="4">(F7+G7)/2</f>
        <v>1.625</v>
      </c>
      <c r="I7" s="3">
        <f t="shared" ref="I7:I10" si="5">(F7)^2-3</f>
        <v>-0.75</v>
      </c>
      <c r="J7" s="3">
        <f t="shared" ref="J7:J10" si="6">(H7)^2-3</f>
        <v>-0.359375</v>
      </c>
      <c r="K7" s="2">
        <f t="shared" ref="K7:K10" si="7">(I7)*(J7)</f>
        <v>0.26953125</v>
      </c>
      <c r="L7" s="2">
        <f t="shared" ref="L7:L23" si="8">ABS((H7-F7)/H7)</f>
        <v>7.6923076923076927E-2</v>
      </c>
      <c r="M7" s="2">
        <f t="shared" si="0"/>
        <v>6.1778290993071583E-2</v>
      </c>
      <c r="O7" s="19" t="s">
        <v>4</v>
      </c>
      <c r="P7" s="19"/>
      <c r="Q7" s="24">
        <v>1.732</v>
      </c>
      <c r="R7" s="22"/>
      <c r="S7" s="3">
        <v>2</v>
      </c>
      <c r="T7" s="2">
        <f>IF(Z6&lt;0,T6,X6)</f>
        <v>1.7272727272727273</v>
      </c>
      <c r="U7" s="2">
        <f>IF(Z6&gt;0,U6,X6)</f>
        <v>2</v>
      </c>
      <c r="V7" s="2">
        <f>T7^2-3</f>
        <v>-1.6528925619834656E-2</v>
      </c>
      <c r="W7" s="2">
        <f t="shared" ref="W7:W11" si="9">U7^2-3</f>
        <v>1</v>
      </c>
      <c r="X7" s="2">
        <f>T7-((U7-T7)/(W7-V7))*V7</f>
        <v>1.7317073170731707</v>
      </c>
      <c r="Y7" s="2">
        <f t="shared" ref="Y7:Y11" si="10">X7^2-3</f>
        <v>-1.1897679952408424E-3</v>
      </c>
      <c r="Z7" s="2">
        <f>V7*Y7</f>
        <v>1.9665586698195677E-5</v>
      </c>
      <c r="AA7" s="2">
        <f>ABS((X7-T7)/X7)</f>
        <v>2.560819462227892E-3</v>
      </c>
      <c r="AB7" s="2">
        <f>ABS(($Q$7-X7)/$Q$7)</f>
        <v>1.6898552357348068E-4</v>
      </c>
      <c r="AD7" s="19" t="s">
        <v>20</v>
      </c>
      <c r="AE7" s="19"/>
      <c r="AF7" s="19">
        <v>1.5</v>
      </c>
      <c r="AG7" s="20"/>
      <c r="AH7" s="3">
        <v>2</v>
      </c>
      <c r="AI7" s="2">
        <f t="shared" ref="AI7" si="11">AI6-(AJ6/AK6)</f>
        <v>1.7321428571428572</v>
      </c>
      <c r="AJ7" s="12">
        <f t="shared" ref="AJ7:AJ8" si="12">AI7^2-3</f>
        <v>3.1887755102077975E-4</v>
      </c>
      <c r="AK7" s="2">
        <f t="shared" ref="AK7:AK8" si="13">2*AI7</f>
        <v>3.4642857142857144</v>
      </c>
      <c r="AL7" s="11">
        <f t="shared" ref="AL7" si="14">ABS(AI7-AI6)/AI7</f>
        <v>1.0309278350515427E-2</v>
      </c>
      <c r="AM7" s="2">
        <f>ABS($AF$8-AI7)/$AF$8</f>
        <v>8.2481029363292314E-5</v>
      </c>
      <c r="AS7" s="2" t="s">
        <v>25</v>
      </c>
      <c r="AT7" s="2">
        <v>2</v>
      </c>
      <c r="AU7" s="9">
        <f>AU6-(((AV6*(AU6-AU5))/(AV6-AV5)))</f>
        <v>1.6666666666666667</v>
      </c>
      <c r="AV7" s="10">
        <f>AU7^2-3</f>
        <v>-0.22222222222222188</v>
      </c>
      <c r="AW7" s="2">
        <f t="shared" ref="AW7:AW10" si="15">ABS(AU7-AU6)/AU7</f>
        <v>0.19999999999999996</v>
      </c>
      <c r="AX7" s="2">
        <f t="shared" ref="AX7:AX10" si="16">ABS($AQ$6-AU7)/$AQ$6</f>
        <v>3.7721324095457996E-2</v>
      </c>
      <c r="AY7" s="29">
        <f t="shared" ref="AY7:AY10" si="17">AW7</f>
        <v>0.19999999999999996</v>
      </c>
      <c r="AZ7" s="29">
        <f t="shared" si="1"/>
        <v>3.7721324095457996E-2</v>
      </c>
    </row>
    <row r="8" spans="1:52" x14ac:dyDescent="0.35">
      <c r="E8" s="3">
        <v>3</v>
      </c>
      <c r="F8" s="3">
        <f>IF(K7&lt;0,F7,H7)</f>
        <v>1.625</v>
      </c>
      <c r="G8" s="3">
        <f>IF(K7&gt;0,G7,H7)</f>
        <v>1.75</v>
      </c>
      <c r="H8" s="4">
        <f t="shared" si="4"/>
        <v>1.6875</v>
      </c>
      <c r="I8" s="3">
        <f t="shared" si="5"/>
        <v>-0.359375</v>
      </c>
      <c r="J8" s="3">
        <f t="shared" si="6"/>
        <v>-0.15234375</v>
      </c>
      <c r="K8" s="2">
        <f t="shared" si="7"/>
        <v>5.474853515625E-2</v>
      </c>
      <c r="L8" s="2">
        <f t="shared" si="8"/>
        <v>3.7037037037037035E-2</v>
      </c>
      <c r="M8" s="2">
        <f t="shared" si="0"/>
        <v>2.5692840646651262E-2</v>
      </c>
      <c r="S8" s="3">
        <v>3</v>
      </c>
      <c r="T8" s="2">
        <f>IF(Z7&lt;0,T7,X7)</f>
        <v>1.7317073170731707</v>
      </c>
      <c r="U8" s="2">
        <f>IF(Z7&gt;0,U7,X7)</f>
        <v>2</v>
      </c>
      <c r="V8" s="2">
        <f>T8^2-3</f>
        <v>-1.1897679952408424E-3</v>
      </c>
      <c r="W8" s="2">
        <f t="shared" si="9"/>
        <v>1</v>
      </c>
      <c r="X8" s="2">
        <f>T8-((U8-T8)/(W8-V8))*V8</f>
        <v>1.7320261437908497</v>
      </c>
      <c r="Y8" s="2">
        <f t="shared" si="10"/>
        <v>-8.5437224998763384E-5</v>
      </c>
      <c r="Z8" s="2">
        <f>V8*Y8</f>
        <v>1.016504759057195E-7</v>
      </c>
      <c r="AA8" s="2">
        <f>ABS((X8-T8)/X8)</f>
        <v>1.8407731247128416E-4</v>
      </c>
      <c r="AB8" s="2">
        <f>ABS(($Q$7-X8)/$Q$7)</f>
        <v>1.5094567465215385E-5</v>
      </c>
      <c r="AD8" s="19" t="s">
        <v>4</v>
      </c>
      <c r="AE8" s="19"/>
      <c r="AF8" s="19">
        <v>1.732</v>
      </c>
      <c r="AG8" s="20"/>
      <c r="AH8" s="3">
        <v>3</v>
      </c>
      <c r="AI8" s="2">
        <f>AI7-(AJ7/AK7)</f>
        <v>1.7320508100147276</v>
      </c>
      <c r="AJ8" s="13">
        <f t="shared" si="12"/>
        <v>8.4726741178542397E-9</v>
      </c>
      <c r="AK8" s="2">
        <f t="shared" si="13"/>
        <v>3.4641016200294552</v>
      </c>
      <c r="AL8" s="11">
        <f>ABS(AI8-AI7)/AI8</f>
        <v>5.3143434128713205E-5</v>
      </c>
      <c r="AM8" s="2">
        <f>ABS($AF$8-AI8)/$AF$8</f>
        <v>2.9336036216870819E-5</v>
      </c>
      <c r="AT8" s="2">
        <v>3</v>
      </c>
      <c r="AU8" s="9">
        <f>AU7-(((AV7*(AU7-AU6))/(AV7-AV6)))</f>
        <v>1.7272727272727273</v>
      </c>
      <c r="AV8" s="10">
        <f t="shared" ref="AV8:AV10" si="18">AU8^2-3</f>
        <v>-1.6528925619834656E-2</v>
      </c>
      <c r="AW8" s="2">
        <f>ABS(AU8-AU7)/AU8</f>
        <v>3.5087719298245584E-2</v>
      </c>
      <c r="AX8" s="2">
        <f t="shared" si="16"/>
        <v>2.7293722443837709E-3</v>
      </c>
      <c r="AY8" s="29">
        <f t="shared" si="17"/>
        <v>3.5087719298245584E-2</v>
      </c>
      <c r="AZ8" s="29">
        <f t="shared" si="1"/>
        <v>2.7293722443837709E-3</v>
      </c>
    </row>
    <row r="9" spans="1:52" x14ac:dyDescent="0.35">
      <c r="E9" s="3">
        <v>4</v>
      </c>
      <c r="F9" s="3">
        <f>IF(K8&lt;0,F8,H8)</f>
        <v>1.6875</v>
      </c>
      <c r="G9" s="3">
        <f>IF(K8&gt;0,G8,H8)</f>
        <v>1.75</v>
      </c>
      <c r="H9" s="4">
        <f t="shared" si="4"/>
        <v>1.71875</v>
      </c>
      <c r="I9" s="3">
        <f t="shared" si="5"/>
        <v>-0.15234375</v>
      </c>
      <c r="J9" s="3">
        <f t="shared" si="6"/>
        <v>-4.58984375E-2</v>
      </c>
      <c r="K9" s="2">
        <f t="shared" si="7"/>
        <v>6.992340087890625E-3</v>
      </c>
      <c r="L9" s="2">
        <f t="shared" si="8"/>
        <v>1.8181818181818181E-2</v>
      </c>
      <c r="M9" s="2">
        <f t="shared" si="0"/>
        <v>7.6501154734410996E-3</v>
      </c>
      <c r="S9" s="3">
        <v>4</v>
      </c>
      <c r="T9" s="2">
        <f>IF(Z8&lt;0,T8,X8)</f>
        <v>1.7320261437908497</v>
      </c>
      <c r="U9" s="2">
        <f>IF(Z8&gt;0,U8,X8)</f>
        <v>2</v>
      </c>
      <c r="V9" s="2">
        <f>T9^2-3</f>
        <v>-8.5437224998763384E-5</v>
      </c>
      <c r="W9" s="2">
        <f t="shared" si="9"/>
        <v>1</v>
      </c>
      <c r="X9" s="2">
        <f>T9-((U9-T9)/(W9-V9))*V9</f>
        <v>1.7320490367775832</v>
      </c>
      <c r="Y9" s="2">
        <f t="shared" si="10"/>
        <v>-6.1341978465634384E-6</v>
      </c>
      <c r="Z9" s="2">
        <f>V9*Y9</f>
        <v>5.2408884160377034E-10</v>
      </c>
      <c r="AA9" s="2">
        <f>ABS((X9-T9)/X9)</f>
        <v>1.3217285566005327E-5</v>
      </c>
      <c r="AB9" s="2">
        <f>ABS(($Q$7-X9)/$Q$7)</f>
        <v>2.8312227242013177E-5</v>
      </c>
      <c r="AH9" s="6">
        <v>4</v>
      </c>
      <c r="AI9" s="5">
        <f>AI8-(AJ8/AK8)</f>
        <v>1.7320508075688772</v>
      </c>
      <c r="AJ9" s="5">
        <f>AI9^2-3</f>
        <v>0</v>
      </c>
      <c r="AK9" s="5">
        <f>2*AI9</f>
        <v>3.4641016151377544</v>
      </c>
      <c r="AL9" s="14">
        <f>ABS(AI9-AI8)/AI9</f>
        <v>1.4121123932417916E-9</v>
      </c>
      <c r="AM9" s="2">
        <f>ABS($AF$8-AI9)/$AF$8</f>
        <v>2.9334624063053791E-5</v>
      </c>
      <c r="AT9" s="5">
        <v>4</v>
      </c>
      <c r="AU9" s="17">
        <f>AU8-(((AV8*(AU8-AU7))/(AV8-AV7)))</f>
        <v>1.7321428571428572</v>
      </c>
      <c r="AV9" s="18">
        <f t="shared" si="18"/>
        <v>3.1887755102077975E-4</v>
      </c>
      <c r="AW9" s="2">
        <f>ABS(AU9-AU8)/AU9</f>
        <v>2.811621368322424E-3</v>
      </c>
      <c r="AX9" s="2">
        <f t="shared" si="16"/>
        <v>8.2481029363292314E-5</v>
      </c>
      <c r="AY9" s="29">
        <f t="shared" si="17"/>
        <v>2.811621368322424E-3</v>
      </c>
      <c r="AZ9" s="29">
        <f t="shared" si="1"/>
        <v>8.2481029363292314E-5</v>
      </c>
    </row>
    <row r="10" spans="1:52" x14ac:dyDescent="0.35">
      <c r="E10" s="3">
        <v>5</v>
      </c>
      <c r="F10" s="3">
        <f t="shared" si="2"/>
        <v>1.71875</v>
      </c>
      <c r="G10" s="3">
        <f t="shared" si="3"/>
        <v>1.75</v>
      </c>
      <c r="H10" s="4">
        <f t="shared" si="4"/>
        <v>1.734375</v>
      </c>
      <c r="I10" s="3">
        <f t="shared" si="5"/>
        <v>-4.58984375E-2</v>
      </c>
      <c r="J10" s="3">
        <f t="shared" si="6"/>
        <v>8.056640625E-3</v>
      </c>
      <c r="K10" s="2">
        <f t="shared" si="7"/>
        <v>-3.6978721618652344E-4</v>
      </c>
      <c r="L10" s="2">
        <f t="shared" si="8"/>
        <v>9.0090090090090089E-3</v>
      </c>
      <c r="M10" s="2">
        <f t="shared" si="0"/>
        <v>1.3712471131639816E-3</v>
      </c>
      <c r="S10" s="6">
        <v>5</v>
      </c>
      <c r="T10" s="5">
        <f>IF(Z9&lt;0,T9,X9)</f>
        <v>1.7320490367775832</v>
      </c>
      <c r="U10" s="5">
        <f>IF(Z9&gt;0,U9,X9)</f>
        <v>2</v>
      </c>
      <c r="V10" s="5">
        <f>T10^2-3</f>
        <v>-6.1341978465634384E-6</v>
      </c>
      <c r="W10" s="5">
        <f t="shared" si="9"/>
        <v>1</v>
      </c>
      <c r="X10" s="5">
        <f>T10-((U10-T10)/(W10-V10))*V10</f>
        <v>1.7320506804317222</v>
      </c>
      <c r="Y10" s="5">
        <f t="shared" si="10"/>
        <v>-4.4041600810729165E-7</v>
      </c>
      <c r="Z10" s="5">
        <f>V10*Y10</f>
        <v>2.7015989285238144E-12</v>
      </c>
      <c r="AA10" s="5">
        <f>ABS((X10-T10)/X10)</f>
        <v>9.4896422927224018E-7</v>
      </c>
      <c r="AB10" s="5">
        <f>ABS(($Q$7-X10)/$Q$7)</f>
        <v>2.9261219239135781E-5</v>
      </c>
      <c r="AT10" s="5">
        <v>5</v>
      </c>
      <c r="AU10" s="17">
        <f>AU9-(((AV9*(AU9-AU8))/(AV9-AV8)))</f>
        <v>1.7320506804317222</v>
      </c>
      <c r="AV10" s="18">
        <f t="shared" si="18"/>
        <v>-4.4041600810729165E-7</v>
      </c>
      <c r="AW10" s="2">
        <f t="shared" si="15"/>
        <v>5.32182528931911E-5</v>
      </c>
      <c r="AX10" s="2">
        <f t="shared" si="16"/>
        <v>2.9261219239135781E-5</v>
      </c>
      <c r="AY10" s="29">
        <f t="shared" si="17"/>
        <v>5.32182528931911E-5</v>
      </c>
      <c r="AZ10" s="29">
        <f t="shared" si="1"/>
        <v>2.9261219239135781E-5</v>
      </c>
    </row>
    <row r="11" spans="1:52" x14ac:dyDescent="0.35">
      <c r="E11" s="3">
        <v>6</v>
      </c>
      <c r="F11" s="3">
        <f t="shared" ref="F11:F18" si="19">IF(K10&lt;0,F10,H10)</f>
        <v>1.71875</v>
      </c>
      <c r="G11" s="3">
        <f t="shared" si="3"/>
        <v>1.734375</v>
      </c>
      <c r="H11" s="4">
        <f t="shared" ref="H11:H19" si="20">(F11+G11)/2</f>
        <v>1.7265625</v>
      </c>
      <c r="I11" s="3">
        <f t="shared" ref="I11:I19" si="21">(F11)^2-3</f>
        <v>-4.58984375E-2</v>
      </c>
      <c r="J11" s="3">
        <f t="shared" ref="J11:J19" si="22">(H11)^2-3</f>
        <v>-1.898193359375E-2</v>
      </c>
      <c r="K11" s="2">
        <f t="shared" ref="K11:K19" si="23">(I11)*(J11)</f>
        <v>8.7124109268188477E-4</v>
      </c>
      <c r="L11" s="2">
        <f t="shared" si="8"/>
        <v>4.5248868778280547E-3</v>
      </c>
      <c r="M11" s="2">
        <f t="shared" si="0"/>
        <v>3.139434180138559E-3</v>
      </c>
      <c r="S11" s="6">
        <v>6</v>
      </c>
      <c r="T11" s="5">
        <f>IF(Z10&lt;0,T10,X10)</f>
        <v>1.7320506804317222</v>
      </c>
      <c r="U11" s="5">
        <f>IF(Z10&gt;0,U10,X10)</f>
        <v>2</v>
      </c>
      <c r="V11" s="5">
        <f>T11^2-3</f>
        <v>-4.4041600810729165E-7</v>
      </c>
      <c r="W11" s="5">
        <f t="shared" si="9"/>
        <v>1</v>
      </c>
      <c r="X11" s="5">
        <f>T11-((U11-T11)/(W11-V11))*V11</f>
        <v>1.73205079844084</v>
      </c>
      <c r="Y11" s="5">
        <f t="shared" si="10"/>
        <v>-3.162044892590643E-8</v>
      </c>
      <c r="Z11" s="5">
        <f>V11*Y11</f>
        <v>1.3926151890508208E-14</v>
      </c>
      <c r="AA11" s="5">
        <f>ABS((X11-T11)/X11)</f>
        <v>6.8132596294082609E-8</v>
      </c>
      <c r="AB11" s="5">
        <f>ABS(($Q$7-X11)/$Q$7)</f>
        <v>2.9329353833714888E-5</v>
      </c>
      <c r="AU11" s="15"/>
      <c r="AV11" s="16"/>
    </row>
    <row r="12" spans="1:52" ht="17.25" customHeight="1" x14ac:dyDescent="0.35">
      <c r="E12" s="3">
        <v>7</v>
      </c>
      <c r="F12" s="3">
        <f t="shared" si="19"/>
        <v>1.7265625</v>
      </c>
      <c r="G12" s="3">
        <f t="shared" si="3"/>
        <v>1.734375</v>
      </c>
      <c r="H12" s="4">
        <f t="shared" si="20"/>
        <v>1.73046875</v>
      </c>
      <c r="I12" s="3">
        <f t="shared" si="21"/>
        <v>-1.898193359375E-2</v>
      </c>
      <c r="J12" s="3">
        <f t="shared" si="22"/>
        <v>-5.4779052734375E-3</v>
      </c>
      <c r="K12" s="2">
        <f t="shared" si="23"/>
        <v>1.0398123413324356E-4</v>
      </c>
      <c r="L12" s="2">
        <f t="shared" si="8"/>
        <v>2.257336343115124E-3</v>
      </c>
      <c r="M12" s="2">
        <f t="shared" si="0"/>
        <v>8.8409353348728871E-4</v>
      </c>
    </row>
    <row r="13" spans="1:52" x14ac:dyDescent="0.35">
      <c r="E13" s="3">
        <v>8</v>
      </c>
      <c r="F13" s="3">
        <f t="shared" si="19"/>
        <v>1.73046875</v>
      </c>
      <c r="G13" s="3">
        <f t="shared" ref="G13:G19" si="24">IF(K12&gt;0,G12,H12)</f>
        <v>1.734375</v>
      </c>
      <c r="H13" s="4">
        <f t="shared" si="20"/>
        <v>1.732421875</v>
      </c>
      <c r="I13" s="3">
        <f t="shared" si="21"/>
        <v>-5.4779052734375E-3</v>
      </c>
      <c r="J13" s="3">
        <f t="shared" si="22"/>
        <v>1.285552978515625E-3</v>
      </c>
      <c r="K13" s="2">
        <f t="shared" si="23"/>
        <v>-7.0421374402940273E-6</v>
      </c>
      <c r="L13" s="2">
        <f t="shared" si="8"/>
        <v>1.1273957158962795E-3</v>
      </c>
      <c r="M13" s="2">
        <f t="shared" si="0"/>
        <v>2.4357678983834641E-4</v>
      </c>
    </row>
    <row r="14" spans="1:52" x14ac:dyDescent="0.35">
      <c r="E14" s="3">
        <v>9</v>
      </c>
      <c r="F14" s="3">
        <f t="shared" si="19"/>
        <v>1.73046875</v>
      </c>
      <c r="G14" s="3">
        <f t="shared" si="24"/>
        <v>1.732421875</v>
      </c>
      <c r="H14" s="4">
        <f t="shared" si="20"/>
        <v>1.7314453125</v>
      </c>
      <c r="I14" s="3">
        <f t="shared" si="21"/>
        <v>-5.4779052734375E-3</v>
      </c>
      <c r="J14" s="3">
        <f t="shared" si="22"/>
        <v>-2.0971298217773438E-3</v>
      </c>
      <c r="K14" s="2">
        <f t="shared" si="23"/>
        <v>1.1487878509797156E-5</v>
      </c>
      <c r="L14" s="2">
        <f t="shared" si="8"/>
        <v>5.6401579244218843E-4</v>
      </c>
      <c r="M14" s="2">
        <f t="shared" si="0"/>
        <v>3.2025837182447114E-4</v>
      </c>
    </row>
    <row r="15" spans="1:52" x14ac:dyDescent="0.35">
      <c r="E15" s="3">
        <v>10</v>
      </c>
      <c r="F15" s="3">
        <f t="shared" si="19"/>
        <v>1.7314453125</v>
      </c>
      <c r="G15" s="3">
        <f t="shared" si="24"/>
        <v>1.732421875</v>
      </c>
      <c r="H15" s="4">
        <f t="shared" si="20"/>
        <v>1.73193359375</v>
      </c>
      <c r="I15" s="3">
        <f t="shared" si="21"/>
        <v>-2.0971298217773438E-3</v>
      </c>
      <c r="J15" s="3">
        <f t="shared" si="22"/>
        <v>-4.0602684020996094E-4</v>
      </c>
      <c r="K15" s="2">
        <f t="shared" si="23"/>
        <v>8.5149099504633341E-7</v>
      </c>
      <c r="L15" s="2">
        <f t="shared" si="8"/>
        <v>2.8192839018889202E-4</v>
      </c>
      <c r="M15" s="2">
        <f t="shared" si="0"/>
        <v>3.8340790993062366E-5</v>
      </c>
    </row>
    <row r="16" spans="1:52" x14ac:dyDescent="0.35">
      <c r="E16" s="3">
        <v>11</v>
      </c>
      <c r="F16" s="3">
        <f t="shared" si="19"/>
        <v>1.73193359375</v>
      </c>
      <c r="G16" s="3">
        <f t="shared" si="24"/>
        <v>1.732421875</v>
      </c>
      <c r="H16" s="4">
        <f t="shared" si="20"/>
        <v>1.732177734375</v>
      </c>
      <c r="I16" s="3">
        <f t="shared" si="21"/>
        <v>-4.0602684020996094E-4</v>
      </c>
      <c r="J16" s="3">
        <f t="shared" si="22"/>
        <v>4.3970346450805664E-4</v>
      </c>
      <c r="K16" s="2">
        <f t="shared" si="23"/>
        <v>-1.7853140832357894E-7</v>
      </c>
      <c r="L16" s="2">
        <f t="shared" si="8"/>
        <v>1.4094432699083862E-4</v>
      </c>
      <c r="M16" s="2">
        <f t="shared" si="0"/>
        <v>1.0261799942264203E-4</v>
      </c>
    </row>
    <row r="17" spans="5:13" x14ac:dyDescent="0.35">
      <c r="E17" s="3">
        <v>12</v>
      </c>
      <c r="F17" s="3">
        <f t="shared" si="19"/>
        <v>1.73193359375</v>
      </c>
      <c r="G17" s="3">
        <f t="shared" si="24"/>
        <v>1.732177734375</v>
      </c>
      <c r="H17" s="4">
        <f t="shared" si="20"/>
        <v>1.7320556640625</v>
      </c>
      <c r="I17" s="3">
        <f t="shared" si="21"/>
        <v>-4.0602684020996094E-4</v>
      </c>
      <c r="J17" s="3">
        <f t="shared" si="22"/>
        <v>1.6823410987854004E-5</v>
      </c>
      <c r="K17" s="2">
        <f t="shared" si="23"/>
        <v>-6.8307564049518987E-9</v>
      </c>
      <c r="L17" s="2">
        <f t="shared" si="8"/>
        <v>7.0477130171259429E-5</v>
      </c>
      <c r="M17" s="2">
        <f t="shared" si="0"/>
        <v>3.2138604214789831E-5</v>
      </c>
    </row>
    <row r="18" spans="5:13" x14ac:dyDescent="0.35">
      <c r="E18" s="3">
        <v>13</v>
      </c>
      <c r="F18" s="3">
        <f t="shared" si="19"/>
        <v>1.73193359375</v>
      </c>
      <c r="G18" s="3">
        <f t="shared" si="24"/>
        <v>1.7320556640625</v>
      </c>
      <c r="H18" s="4">
        <f t="shared" si="20"/>
        <v>1.73199462890625</v>
      </c>
      <c r="I18" s="3">
        <f t="shared" si="21"/>
        <v>-4.0602684020996094E-4</v>
      </c>
      <c r="J18" s="3">
        <f t="shared" si="22"/>
        <v>-1.9460543990135193E-4</v>
      </c>
      <c r="K18" s="2">
        <f t="shared" si="23"/>
        <v>7.9015031850815376E-8</v>
      </c>
      <c r="L18" s="2">
        <f t="shared" si="8"/>
        <v>3.5239806885858265E-5</v>
      </c>
      <c r="M18" s="2">
        <f t="shared" si="0"/>
        <v>3.1010933891362659E-6</v>
      </c>
    </row>
    <row r="19" spans="5:13" x14ac:dyDescent="0.35">
      <c r="E19" s="3">
        <v>14</v>
      </c>
      <c r="F19" s="3">
        <f>IF(K18&lt;0,F18,H18)</f>
        <v>1.73199462890625</v>
      </c>
      <c r="G19" s="3">
        <f t="shared" si="24"/>
        <v>1.7320556640625</v>
      </c>
      <c r="H19" s="4">
        <f t="shared" si="20"/>
        <v>1.732025146484375</v>
      </c>
      <c r="I19" s="3">
        <f t="shared" si="21"/>
        <v>-1.9460543990135193E-4</v>
      </c>
      <c r="J19" s="3">
        <f t="shared" si="22"/>
        <v>-8.8891945779323578E-5</v>
      </c>
      <c r="K19" s="2">
        <f t="shared" si="23"/>
        <v>1.7298856212072389E-8</v>
      </c>
      <c r="L19" s="2">
        <f t="shared" si="8"/>
        <v>1.7619592987401992E-5</v>
      </c>
      <c r="M19" s="2">
        <f t="shared" si="0"/>
        <v>1.4518755412826783E-5</v>
      </c>
    </row>
    <row r="20" spans="5:13" x14ac:dyDescent="0.35">
      <c r="E20" s="3">
        <v>15</v>
      </c>
      <c r="F20" s="3">
        <f t="shared" ref="F20:F23" si="25">IF(K19&lt;0,F19,H19)</f>
        <v>1.732025146484375</v>
      </c>
      <c r="G20" s="3">
        <f t="shared" ref="G20:G23" si="26">IF(K19&gt;0,G19,H19)</f>
        <v>1.7320556640625</v>
      </c>
      <c r="H20" s="4">
        <f t="shared" ref="H20:H23" si="27">(F20+G20)/2</f>
        <v>1.7320404052734375</v>
      </c>
      <c r="I20" s="3">
        <f t="shared" ref="I20:I23" si="28">(F20)^2-3</f>
        <v>-8.8891945779323578E-5</v>
      </c>
      <c r="J20" s="3">
        <f t="shared" ref="J20:J23" si="29">(H20)^2-3</f>
        <v>-3.6034500226378441E-5</v>
      </c>
      <c r="K20" s="2">
        <f t="shared" ref="K20:K23" si="30">(I20)*(J20)</f>
        <v>3.2031768403082556E-9</v>
      </c>
      <c r="L20" s="2">
        <f t="shared" si="8"/>
        <v>8.8097188818704796E-6</v>
      </c>
      <c r="M20" s="2">
        <f t="shared" si="0"/>
        <v>2.3328679813808309E-5</v>
      </c>
    </row>
    <row r="21" spans="5:13" x14ac:dyDescent="0.35">
      <c r="E21" s="3">
        <v>16</v>
      </c>
      <c r="F21" s="3">
        <f t="shared" si="25"/>
        <v>1.7320404052734375</v>
      </c>
      <c r="G21" s="3">
        <f t="shared" si="26"/>
        <v>1.7320556640625</v>
      </c>
      <c r="H21" s="4">
        <f t="shared" si="27"/>
        <v>1.7320480346679688</v>
      </c>
      <c r="I21" s="3">
        <f t="shared" si="28"/>
        <v>-3.6034500226378441E-5</v>
      </c>
      <c r="J21" s="3">
        <f t="shared" si="29"/>
        <v>-9.6056028269231319E-6</v>
      </c>
      <c r="K21" s="2">
        <f t="shared" si="30"/>
        <v>3.4613309724126299E-10</v>
      </c>
      <c r="L21" s="2">
        <f t="shared" si="8"/>
        <v>4.4048400382340118E-6</v>
      </c>
      <c r="M21" s="2">
        <f t="shared" si="0"/>
        <v>2.7733642014299068E-5</v>
      </c>
    </row>
    <row r="22" spans="5:13" x14ac:dyDescent="0.35">
      <c r="E22" s="3">
        <v>17</v>
      </c>
      <c r="F22" s="3">
        <f t="shared" si="25"/>
        <v>1.7320480346679688</v>
      </c>
      <c r="G22" s="3">
        <f t="shared" si="26"/>
        <v>1.7320556640625</v>
      </c>
      <c r="H22" s="4">
        <f t="shared" si="27"/>
        <v>1.7320518493652344</v>
      </c>
      <c r="I22" s="3">
        <f t="shared" si="28"/>
        <v>-9.6056028269231319E-6</v>
      </c>
      <c r="J22" s="3">
        <f t="shared" si="29"/>
        <v>3.6088895285502076E-6</v>
      </c>
      <c r="K22" s="2">
        <f t="shared" si="30"/>
        <v>-3.4665559457495163E-11</v>
      </c>
      <c r="L22" s="2">
        <f t="shared" si="8"/>
        <v>2.2024151684737483E-6</v>
      </c>
      <c r="M22" s="2">
        <f t="shared" si="0"/>
        <v>2.9936123114544451E-5</v>
      </c>
    </row>
    <row r="23" spans="5:13" x14ac:dyDescent="0.35">
      <c r="E23" s="3">
        <v>18</v>
      </c>
      <c r="F23" s="3">
        <f t="shared" si="25"/>
        <v>1.7320480346679688</v>
      </c>
      <c r="G23" s="3">
        <f t="shared" si="26"/>
        <v>1.7320518493652344</v>
      </c>
      <c r="H23" s="4">
        <f t="shared" si="27"/>
        <v>1.7320499420166016</v>
      </c>
      <c r="I23" s="3">
        <f t="shared" si="28"/>
        <v>-9.6056028269231319E-6</v>
      </c>
      <c r="J23" s="3">
        <f t="shared" si="29"/>
        <v>-2.9983602871652693E-6</v>
      </c>
      <c r="K23" s="2">
        <f t="shared" si="30"/>
        <v>2.8801058050528764E-11</v>
      </c>
      <c r="L23" s="2">
        <f t="shared" si="8"/>
        <v>1.1012087968963532E-6</v>
      </c>
      <c r="M23" s="2">
        <f t="shared" si="0"/>
        <v>2.8834882564421761E-5</v>
      </c>
    </row>
    <row r="24" spans="5:13" x14ac:dyDescent="0.35">
      <c r="E24" s="3">
        <v>19</v>
      </c>
      <c r="F24" s="3">
        <f t="shared" ref="F24:F27" si="31">IF(K23&lt;0,F23,H23)</f>
        <v>1.7320499420166016</v>
      </c>
      <c r="G24" s="3">
        <f t="shared" ref="G24:G27" si="32">IF(K23&gt;0,G23,H23)</f>
        <v>1.7320518493652344</v>
      </c>
      <c r="H24" s="4">
        <f t="shared" ref="H24:H27" si="33">(F24+G24)/2</f>
        <v>1.732050895690918</v>
      </c>
      <c r="I24" s="3">
        <f t="shared" ref="I24:I27" si="34">(F24)^2-3</f>
        <v>-2.9983602871652693E-6</v>
      </c>
      <c r="J24" s="3">
        <f t="shared" ref="J24:J27" si="35">(H24)^2-3</f>
        <v>3.0526371119776741E-7</v>
      </c>
      <c r="K24" s="2">
        <f t="shared" ref="K24:K27" si="36">(I24)*(J24)</f>
        <v>-9.152905887680737E-13</v>
      </c>
      <c r="L24" s="2">
        <f t="shared" ref="L24:L27" si="37">ABS((H24-F24)/H24)</f>
        <v>5.5060409528313993E-7</v>
      </c>
      <c r="M24" s="2">
        <f t="shared" ref="M24:M27" si="38">ABS(($C$7-H24)/$C$7)</f>
        <v>2.9385502839483106E-5</v>
      </c>
    </row>
    <row r="25" spans="5:13" x14ac:dyDescent="0.35">
      <c r="E25" s="3">
        <v>20</v>
      </c>
      <c r="F25" s="3">
        <f t="shared" si="31"/>
        <v>1.7320499420166016</v>
      </c>
      <c r="G25" s="3">
        <f t="shared" si="32"/>
        <v>1.732050895690918</v>
      </c>
      <c r="H25" s="4">
        <f t="shared" si="33"/>
        <v>1.7320504188537598</v>
      </c>
      <c r="I25" s="3">
        <f t="shared" si="34"/>
        <v>-2.9983602871652693E-6</v>
      </c>
      <c r="J25" s="3">
        <f t="shared" si="35"/>
        <v>-1.3465485153574264E-6</v>
      </c>
      <c r="K25" s="2">
        <f t="shared" si="36"/>
        <v>4.0374375931890599E-12</v>
      </c>
      <c r="L25" s="2">
        <f t="shared" si="37"/>
        <v>2.7530212343280827E-7</v>
      </c>
      <c r="M25" s="2">
        <f t="shared" si="38"/>
        <v>2.9110192701952432E-5</v>
      </c>
    </row>
    <row r="26" spans="5:13" x14ac:dyDescent="0.35">
      <c r="E26" s="3">
        <v>21</v>
      </c>
      <c r="F26" s="3">
        <f t="shared" si="31"/>
        <v>1.7320504188537598</v>
      </c>
      <c r="G26" s="3">
        <f t="shared" si="32"/>
        <v>1.732050895690918</v>
      </c>
      <c r="H26" s="4">
        <f t="shared" si="33"/>
        <v>1.7320506572723389</v>
      </c>
      <c r="I26" s="3">
        <f t="shared" si="34"/>
        <v>-1.3465485153574264E-6</v>
      </c>
      <c r="J26" s="3">
        <f t="shared" si="35"/>
        <v>-5.2064245892324834E-7</v>
      </c>
      <c r="K26" s="2">
        <f t="shared" si="36"/>
        <v>7.010703300951399E-13</v>
      </c>
      <c r="L26" s="2">
        <f t="shared" si="37"/>
        <v>1.3765104276859194E-7</v>
      </c>
      <c r="M26" s="2">
        <f t="shared" si="38"/>
        <v>2.9247847770717769E-5</v>
      </c>
    </row>
    <row r="27" spans="5:13" x14ac:dyDescent="0.35">
      <c r="E27" s="3">
        <v>22</v>
      </c>
      <c r="F27" s="3">
        <f t="shared" si="31"/>
        <v>1.7320506572723389</v>
      </c>
      <c r="G27" s="3">
        <f t="shared" si="32"/>
        <v>1.732050895690918</v>
      </c>
      <c r="H27" s="4">
        <f t="shared" si="33"/>
        <v>1.7320507764816284</v>
      </c>
      <c r="I27" s="3">
        <f t="shared" si="34"/>
        <v>-5.2064245892324834E-7</v>
      </c>
      <c r="J27" s="3">
        <f t="shared" si="35"/>
        <v>-1.0768938807359518E-7</v>
      </c>
      <c r="K27" s="2">
        <f t="shared" si="36"/>
        <v>5.606766780657653E-14</v>
      </c>
      <c r="L27" s="2">
        <f t="shared" si="37"/>
        <v>6.8825516647343899E-8</v>
      </c>
      <c r="M27" s="2">
        <f t="shared" si="38"/>
        <v>2.9316675305100436E-5</v>
      </c>
    </row>
    <row r="28" spans="5:13" x14ac:dyDescent="0.35">
      <c r="E28" s="3">
        <v>23</v>
      </c>
      <c r="F28" s="3">
        <f t="shared" ref="F28:F31" si="39">IF(K27&lt;0,F27,H27)</f>
        <v>1.7320507764816284</v>
      </c>
      <c r="G28" s="3">
        <f t="shared" ref="G28:G31" si="40">IF(K27&gt;0,G27,H27)</f>
        <v>1.732050895690918</v>
      </c>
      <c r="H28" s="4">
        <f t="shared" ref="H28:H31" si="41">(F28+G28)/2</f>
        <v>1.7320508360862732</v>
      </c>
      <c r="I28" s="3">
        <f t="shared" ref="I28:I31" si="42">(F28)^2-3</f>
        <v>-1.0768938807359518E-7</v>
      </c>
      <c r="J28" s="3">
        <f t="shared" ref="J28:J31" si="43">(H28)^2-3</f>
        <v>9.8787158009372433E-8</v>
      </c>
      <c r="K28" s="2">
        <f t="shared" ref="K28:K31" si="44">(I28)*(J28)</f>
        <v>-1.0638328595558875E-14</v>
      </c>
      <c r="L28" s="2">
        <f t="shared" ref="L28:L31" si="45">ABS((H28-F28)/H28)</f>
        <v>3.4412757139434054E-8</v>
      </c>
      <c r="M28" s="2">
        <f t="shared" ref="M28:M31" si="46">ABS(($C$7-H28)/$C$7)</f>
        <v>2.9351089072291769E-5</v>
      </c>
    </row>
    <row r="29" spans="5:13" x14ac:dyDescent="0.35">
      <c r="E29" s="3">
        <v>24</v>
      </c>
      <c r="F29" s="3">
        <f t="shared" si="39"/>
        <v>1.7320507764816284</v>
      </c>
      <c r="G29" s="3">
        <f t="shared" si="40"/>
        <v>1.7320508360862732</v>
      </c>
      <c r="H29" s="4">
        <f t="shared" si="41"/>
        <v>1.7320508062839508</v>
      </c>
      <c r="I29" s="3">
        <f t="shared" si="42"/>
        <v>-1.0768938807359518E-7</v>
      </c>
      <c r="J29" s="3">
        <f t="shared" si="43"/>
        <v>-4.4511159202897943E-9</v>
      </c>
      <c r="K29" s="2">
        <f t="shared" si="44"/>
        <v>4.7933794970064542E-16</v>
      </c>
      <c r="L29" s="2">
        <f t="shared" si="45"/>
        <v>1.7206378865776496E-8</v>
      </c>
      <c r="M29" s="2">
        <f t="shared" si="46"/>
        <v>2.9333882188696103E-5</v>
      </c>
    </row>
    <row r="30" spans="5:13" x14ac:dyDescent="0.35">
      <c r="E30" s="3">
        <v>25</v>
      </c>
      <c r="F30" s="3">
        <f t="shared" si="39"/>
        <v>1.7320508062839508</v>
      </c>
      <c r="G30" s="3">
        <f t="shared" si="40"/>
        <v>1.7320508360862732</v>
      </c>
      <c r="H30" s="4">
        <f t="shared" si="41"/>
        <v>1.732050821185112</v>
      </c>
      <c r="I30" s="3">
        <f t="shared" si="42"/>
        <v>-4.4511159202897943E-9</v>
      </c>
      <c r="J30" s="3">
        <f t="shared" si="43"/>
        <v>4.716802060045211E-8</v>
      </c>
      <c r="K30" s="2">
        <f t="shared" si="44"/>
        <v>-2.0995032742322937E-16</v>
      </c>
      <c r="L30" s="2">
        <f t="shared" si="45"/>
        <v>8.6031893588733808E-9</v>
      </c>
      <c r="M30" s="2">
        <f t="shared" si="46"/>
        <v>2.9342485630493936E-5</v>
      </c>
    </row>
    <row r="31" spans="5:13" x14ac:dyDescent="0.35">
      <c r="E31" s="3">
        <v>26</v>
      </c>
      <c r="F31" s="3">
        <f t="shared" si="39"/>
        <v>1.7320508062839508</v>
      </c>
      <c r="G31" s="3">
        <f t="shared" si="40"/>
        <v>1.732050821185112</v>
      </c>
      <c r="H31" s="4">
        <f t="shared" si="41"/>
        <v>1.7320508137345314</v>
      </c>
      <c r="I31" s="3">
        <f t="shared" si="42"/>
        <v>-4.4511159202897943E-9</v>
      </c>
      <c r="J31" s="3">
        <f t="shared" si="43"/>
        <v>2.1358452340081158E-8</v>
      </c>
      <c r="K31" s="2">
        <f t="shared" si="44"/>
        <v>-9.5068947243686053E-17</v>
      </c>
      <c r="L31" s="2">
        <f t="shared" si="45"/>
        <v>4.3015946979404072E-9</v>
      </c>
      <c r="M31" s="2">
        <f t="shared" si="46"/>
        <v>2.9338183909595021E-5</v>
      </c>
    </row>
    <row r="32" spans="5:13" x14ac:dyDescent="0.35">
      <c r="E32" s="3">
        <v>27</v>
      </c>
      <c r="F32" s="3">
        <f t="shared" ref="F32:F38" si="47">IF(K31&lt;0,F31,H31)</f>
        <v>1.7320508062839508</v>
      </c>
      <c r="G32" s="3">
        <f t="shared" ref="G32:G38" si="48">IF(K31&gt;0,G31,H31)</f>
        <v>1.7320508137345314</v>
      </c>
      <c r="H32" s="4">
        <f t="shared" ref="H32:H38" si="49">(F32+G32)/2</f>
        <v>1.7320508100092411</v>
      </c>
      <c r="I32" s="3">
        <f t="shared" ref="I32:I38" si="50">(F32)^2-3</f>
        <v>-4.4511159202897943E-9</v>
      </c>
      <c r="J32" s="3">
        <f t="shared" ref="J32:J38" si="51">(H32)^2-3</f>
        <v>8.4536684319402866E-9</v>
      </c>
      <c r="K32" s="2">
        <f t="shared" ref="K32:K38" si="52">(I32)*(J32)</f>
        <v>-3.7628258142260671E-17</v>
      </c>
      <c r="L32" s="2">
        <f t="shared" ref="L32:L38" si="53">ABS((H32-F32)/H32)</f>
        <v>2.150797353596133E-9</v>
      </c>
      <c r="M32" s="2">
        <f t="shared" ref="M32:M38" si="54">ABS(($C$7-H32)/$C$7)</f>
        <v>2.9336033049145562E-5</v>
      </c>
    </row>
    <row r="33" spans="5:13" x14ac:dyDescent="0.35">
      <c r="E33" s="3">
        <v>28</v>
      </c>
      <c r="F33" s="3">
        <f t="shared" si="47"/>
        <v>1.7320508062839508</v>
      </c>
      <c r="G33" s="3">
        <f t="shared" si="48"/>
        <v>1.7320508100092411</v>
      </c>
      <c r="H33" s="4">
        <f t="shared" si="49"/>
        <v>1.732050808146596</v>
      </c>
      <c r="I33" s="3">
        <f t="shared" si="50"/>
        <v>-4.4511159202897943E-9</v>
      </c>
      <c r="J33" s="3">
        <f t="shared" si="51"/>
        <v>2.0012760337806412E-9</v>
      </c>
      <c r="K33" s="2">
        <f t="shared" si="52"/>
        <v>-8.9079116148554284E-18</v>
      </c>
      <c r="L33" s="2">
        <f t="shared" si="53"/>
        <v>1.0753986779545488E-9</v>
      </c>
      <c r="M33" s="2">
        <f t="shared" si="54"/>
        <v>2.9334957618920834E-5</v>
      </c>
    </row>
    <row r="34" spans="5:13" x14ac:dyDescent="0.35">
      <c r="E34" s="3">
        <v>29</v>
      </c>
      <c r="F34" s="3">
        <f t="shared" si="47"/>
        <v>1.7320508062839508</v>
      </c>
      <c r="G34" s="3">
        <f t="shared" si="48"/>
        <v>1.732050808146596</v>
      </c>
      <c r="H34" s="4">
        <f t="shared" si="49"/>
        <v>1.7320508072152734</v>
      </c>
      <c r="I34" s="3">
        <f t="shared" si="50"/>
        <v>-4.4511159202897943E-9</v>
      </c>
      <c r="J34" s="3">
        <f t="shared" si="51"/>
        <v>-1.2249197212099716E-9</v>
      </c>
      <c r="K34" s="2">
        <f t="shared" si="52"/>
        <v>5.4522596721546411E-18</v>
      </c>
      <c r="L34" s="2">
        <f t="shared" si="53"/>
        <v>5.3769933926639499E-10</v>
      </c>
      <c r="M34" s="2">
        <f t="shared" si="54"/>
        <v>2.9334419903808468E-5</v>
      </c>
    </row>
    <row r="35" spans="5:13" x14ac:dyDescent="0.35">
      <c r="E35" s="3">
        <v>30</v>
      </c>
      <c r="F35" s="3">
        <f t="shared" si="47"/>
        <v>1.7320508072152734</v>
      </c>
      <c r="G35" s="3">
        <f t="shared" si="48"/>
        <v>1.732050808146596</v>
      </c>
      <c r="H35" s="4">
        <f t="shared" si="49"/>
        <v>1.7320508076809347</v>
      </c>
      <c r="I35" s="3">
        <f t="shared" si="50"/>
        <v>-1.2249197212099716E-9</v>
      </c>
      <c r="J35" s="3">
        <f t="shared" si="51"/>
        <v>3.8817793424072988E-10</v>
      </c>
      <c r="K35" s="2">
        <f t="shared" si="52"/>
        <v>-4.7548680699001754E-19</v>
      </c>
      <c r="L35" s="2">
        <f t="shared" si="53"/>
        <v>2.6884966956091732E-10</v>
      </c>
      <c r="M35" s="2">
        <f t="shared" si="54"/>
        <v>2.9334688761364651E-5</v>
      </c>
    </row>
    <row r="36" spans="5:13" x14ac:dyDescent="0.35">
      <c r="E36" s="3">
        <v>31</v>
      </c>
      <c r="F36" s="3">
        <f t="shared" si="47"/>
        <v>1.7320508072152734</v>
      </c>
      <c r="G36" s="3">
        <f t="shared" si="48"/>
        <v>1.7320508076809347</v>
      </c>
      <c r="H36" s="4">
        <f t="shared" si="49"/>
        <v>1.732050807448104</v>
      </c>
      <c r="I36" s="3">
        <f t="shared" si="50"/>
        <v>-1.2249197212099716E-9</v>
      </c>
      <c r="J36" s="3">
        <f t="shared" si="51"/>
        <v>-4.1837067144001594E-10</v>
      </c>
      <c r="K36" s="2">
        <f t="shared" si="52"/>
        <v>5.1247048622273296E-19</v>
      </c>
      <c r="L36" s="2">
        <f t="shared" si="53"/>
        <v>1.344248347985287E-10</v>
      </c>
      <c r="M36" s="2">
        <f t="shared" si="54"/>
        <v>2.9334554332586558E-5</v>
      </c>
    </row>
    <row r="37" spans="5:13" x14ac:dyDescent="0.35">
      <c r="E37" s="6">
        <v>32</v>
      </c>
      <c r="F37" s="6">
        <f t="shared" si="47"/>
        <v>1.732050807448104</v>
      </c>
      <c r="G37" s="6">
        <f t="shared" si="48"/>
        <v>1.7320508076809347</v>
      </c>
      <c r="H37" s="6">
        <f t="shared" si="49"/>
        <v>1.7320508075645193</v>
      </c>
      <c r="I37" s="6">
        <f t="shared" si="50"/>
        <v>-4.1837067144001594E-10</v>
      </c>
      <c r="J37" s="6">
        <f t="shared" si="51"/>
        <v>-1.5096368599643029E-11</v>
      </c>
      <c r="K37" s="5">
        <f t="shared" si="52"/>
        <v>6.315877867338627E-21</v>
      </c>
      <c r="L37" s="5">
        <f t="shared" si="53"/>
        <v>6.7212417394746847E-11</v>
      </c>
      <c r="M37" s="5">
        <f t="shared" si="54"/>
        <v>2.9334621546975604E-5</v>
      </c>
    </row>
    <row r="38" spans="5:13" x14ac:dyDescent="0.35">
      <c r="E38" s="6">
        <v>33</v>
      </c>
      <c r="F38" s="7">
        <f t="shared" si="47"/>
        <v>1.7320508075645193</v>
      </c>
      <c r="G38" s="7">
        <f t="shared" si="48"/>
        <v>1.7320508076809347</v>
      </c>
      <c r="H38" s="7">
        <f t="shared" si="49"/>
        <v>1.732050807622727</v>
      </c>
      <c r="I38" s="7">
        <f t="shared" si="50"/>
        <v>-1.5096368599643029E-11</v>
      </c>
      <c r="J38" s="7">
        <f t="shared" si="51"/>
        <v>1.8654100486514835E-10</v>
      </c>
      <c r="K38" s="8">
        <f t="shared" si="52"/>
        <v>-2.816091768392083E-21</v>
      </c>
      <c r="L38" s="8">
        <f t="shared" si="53"/>
        <v>3.3606208696244044E-11</v>
      </c>
      <c r="M38" s="8">
        <f t="shared" si="54"/>
        <v>2.9334655154170129E-5</v>
      </c>
    </row>
    <row r="39" spans="5:13" x14ac:dyDescent="0.35">
      <c r="F39" s="1"/>
      <c r="G39" s="1"/>
      <c r="H39" s="1"/>
      <c r="I39" s="1"/>
      <c r="J39" s="1"/>
    </row>
    <row r="40" spans="5:13" x14ac:dyDescent="0.35">
      <c r="F40" s="1"/>
      <c r="G40" s="1"/>
      <c r="H40" s="1"/>
      <c r="I40" s="1"/>
      <c r="J40" s="1"/>
    </row>
    <row r="41" spans="5:13" x14ac:dyDescent="0.35">
      <c r="F41" s="1"/>
      <c r="G41" s="1"/>
      <c r="H41" s="1"/>
      <c r="I41" s="1"/>
      <c r="J41" s="1"/>
    </row>
  </sheetData>
  <mergeCells count="23">
    <mergeCell ref="C6:D6"/>
    <mergeCell ref="C7:D7"/>
    <mergeCell ref="O4:R4"/>
    <mergeCell ref="O5:R5"/>
    <mergeCell ref="Q6:R6"/>
    <mergeCell ref="Q7:R7"/>
    <mergeCell ref="A4:D4"/>
    <mergeCell ref="O6:P6"/>
    <mergeCell ref="O7:P7"/>
    <mergeCell ref="A6:B6"/>
    <mergeCell ref="A7:B7"/>
    <mergeCell ref="A5:D5"/>
    <mergeCell ref="AD7:AE7"/>
    <mergeCell ref="AD8:AE8"/>
    <mergeCell ref="AF7:AG7"/>
    <mergeCell ref="AF8:AG8"/>
    <mergeCell ref="AD6:AG6"/>
    <mergeCell ref="AO4:AR4"/>
    <mergeCell ref="AO5:AR5"/>
    <mergeCell ref="AO6:AP6"/>
    <mergeCell ref="AQ6:AR6"/>
    <mergeCell ref="AD4:AG4"/>
    <mergeCell ref="AD5:A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marr.rrrrr05@gmail.com</cp:lastModifiedBy>
  <dcterms:created xsi:type="dcterms:W3CDTF">2026-09-18T06:35:41Z</dcterms:created>
  <dcterms:modified xsi:type="dcterms:W3CDTF">2026-09-20T17:38:25Z</dcterms:modified>
</cp:coreProperties>
</file>